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shua\Dropbox\Games\"/>
    </mc:Choice>
  </mc:AlternateContent>
  <bookViews>
    <workbookView xWindow="0" yWindow="0" windowWidth="20325" windowHeight="8775"/>
  </bookViews>
  <sheets>
    <sheet name="Sheet3" sheetId="3" r:id="rId1"/>
  </sheets>
  <definedNames>
    <definedName name="_xlnm._FilterDatabase" localSheetId="0" hidden="1">Sheet3!$J$1:$J$1153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3" l="1"/>
  <c r="C5" i="3"/>
  <c r="K6" i="3"/>
  <c r="K10" i="3"/>
  <c r="L10" i="3"/>
  <c r="M10" i="3"/>
  <c r="K17" i="3"/>
  <c r="L17" i="3"/>
  <c r="M17" i="3"/>
  <c r="K11" i="3"/>
  <c r="L11" i="3"/>
  <c r="M11" i="3"/>
  <c r="K18" i="3"/>
  <c r="L18" i="3"/>
  <c r="M18" i="3"/>
  <c r="K19" i="3"/>
  <c r="L19" i="3"/>
  <c r="M19" i="3"/>
  <c r="K27" i="3"/>
  <c r="L27" i="3"/>
  <c r="M27" i="3"/>
  <c r="K28" i="3"/>
  <c r="L28" i="3"/>
  <c r="M28" i="3"/>
  <c r="K29" i="3"/>
  <c r="L29" i="3"/>
  <c r="M29" i="3"/>
  <c r="K39" i="3"/>
  <c r="L39" i="3"/>
  <c r="M39" i="3"/>
  <c r="K40" i="3"/>
  <c r="L40" i="3"/>
  <c r="M40" i="3"/>
  <c r="K51" i="3"/>
  <c r="L51" i="3"/>
  <c r="M51" i="3"/>
  <c r="K30" i="3"/>
  <c r="L30" i="3"/>
  <c r="M30" i="3"/>
  <c r="K41" i="3"/>
  <c r="L41" i="3"/>
  <c r="M41" i="3"/>
  <c r="K42" i="3"/>
  <c r="L42" i="3"/>
  <c r="M42" i="3"/>
  <c r="K52" i="3"/>
  <c r="L52" i="3"/>
  <c r="M52" i="3"/>
  <c r="K53" i="3"/>
  <c r="L53" i="3"/>
  <c r="M53" i="3"/>
  <c r="K54" i="3"/>
  <c r="L54" i="3"/>
  <c r="M54" i="3"/>
  <c r="K62" i="3"/>
  <c r="L62" i="3"/>
  <c r="M62" i="3"/>
  <c r="K63" i="3"/>
  <c r="L63" i="3"/>
  <c r="M63" i="3"/>
  <c r="K73" i="3"/>
  <c r="L73" i="3"/>
  <c r="M73" i="3"/>
  <c r="K74" i="3"/>
  <c r="L74" i="3"/>
  <c r="M74" i="3"/>
  <c r="K75" i="3"/>
  <c r="L75" i="3"/>
  <c r="M75" i="3"/>
  <c r="K88" i="3"/>
  <c r="L88" i="3"/>
  <c r="M88" i="3"/>
  <c r="K89" i="3"/>
  <c r="L89" i="3"/>
  <c r="M89" i="3"/>
  <c r="K103" i="3"/>
  <c r="L103" i="3"/>
  <c r="M103" i="3"/>
  <c r="K104" i="3"/>
  <c r="L104" i="3"/>
  <c r="M104" i="3"/>
  <c r="K134" i="3"/>
  <c r="L134" i="3"/>
  <c r="M134" i="3"/>
  <c r="K64" i="3"/>
  <c r="L64" i="3"/>
  <c r="M64" i="3"/>
  <c r="K76" i="3"/>
  <c r="L76" i="3"/>
  <c r="M76" i="3"/>
  <c r="K77" i="3"/>
  <c r="L77" i="3"/>
  <c r="M77" i="3"/>
  <c r="K90" i="3"/>
  <c r="L90" i="3"/>
  <c r="M90" i="3"/>
  <c r="K91" i="3"/>
  <c r="L91" i="3"/>
  <c r="M91" i="3"/>
  <c r="K92" i="3"/>
  <c r="L92" i="3"/>
  <c r="M92" i="3"/>
  <c r="K105" i="3"/>
  <c r="L105" i="3"/>
  <c r="M105" i="3"/>
  <c r="K106" i="3"/>
  <c r="L106" i="3"/>
  <c r="M106" i="3"/>
  <c r="K118" i="3"/>
  <c r="L118" i="3"/>
  <c r="M118" i="3"/>
  <c r="K119" i="3"/>
  <c r="L119" i="3"/>
  <c r="M119" i="3"/>
  <c r="K120" i="3"/>
  <c r="L120" i="3"/>
  <c r="M120" i="3"/>
  <c r="K135" i="3"/>
  <c r="L135" i="3"/>
  <c r="M135" i="3"/>
  <c r="K136" i="3"/>
  <c r="L136" i="3"/>
  <c r="M136" i="3"/>
  <c r="K150" i="3"/>
  <c r="L150" i="3"/>
  <c r="M150" i="3"/>
  <c r="K151" i="3"/>
  <c r="L151" i="3"/>
  <c r="M151" i="3"/>
  <c r="K163" i="3"/>
  <c r="L163" i="3"/>
  <c r="M163" i="3"/>
  <c r="K164" i="3"/>
  <c r="L164" i="3"/>
  <c r="M164" i="3"/>
  <c r="K179" i="3"/>
  <c r="L179" i="3"/>
  <c r="M179" i="3"/>
  <c r="K180" i="3"/>
  <c r="L180" i="3"/>
  <c r="M180" i="3"/>
  <c r="K181" i="3"/>
  <c r="L181" i="3"/>
  <c r="M181" i="3"/>
  <c r="K197" i="3"/>
  <c r="L197" i="3"/>
  <c r="M197" i="3"/>
  <c r="K198" i="3"/>
  <c r="L198" i="3"/>
  <c r="M198" i="3"/>
  <c r="K231" i="3"/>
  <c r="L231" i="3"/>
  <c r="M231" i="3"/>
  <c r="K232" i="3"/>
  <c r="L232" i="3"/>
  <c r="M232" i="3"/>
  <c r="K284" i="3"/>
  <c r="L284" i="3"/>
  <c r="M284" i="3"/>
  <c r="K107" i="3"/>
  <c r="L107" i="3"/>
  <c r="M107" i="3"/>
  <c r="K121" i="3"/>
  <c r="L121" i="3"/>
  <c r="M121" i="3"/>
  <c r="K122" i="3"/>
  <c r="L122" i="3"/>
  <c r="M122" i="3"/>
  <c r="K137" i="3"/>
  <c r="L137" i="3"/>
  <c r="M137" i="3"/>
  <c r="K138" i="3"/>
  <c r="L138" i="3"/>
  <c r="M138" i="3"/>
  <c r="K139" i="3"/>
  <c r="L139" i="3"/>
  <c r="M139" i="3"/>
  <c r="K152" i="3"/>
  <c r="L152" i="3"/>
  <c r="M152" i="3"/>
  <c r="K153" i="3"/>
  <c r="L153" i="3"/>
  <c r="M153" i="3"/>
  <c r="K165" i="3"/>
  <c r="L165" i="3"/>
  <c r="M165" i="3"/>
  <c r="K166" i="3"/>
  <c r="L166" i="3"/>
  <c r="M166" i="3"/>
  <c r="K167" i="3"/>
  <c r="L167" i="3"/>
  <c r="M167" i="3"/>
  <c r="K182" i="3"/>
  <c r="L182" i="3"/>
  <c r="M182" i="3"/>
  <c r="K183" i="3"/>
  <c r="L183" i="3"/>
  <c r="M183" i="3"/>
  <c r="K199" i="3"/>
  <c r="L199" i="3"/>
  <c r="M199" i="3"/>
  <c r="K200" i="3"/>
  <c r="L200" i="3"/>
  <c r="M200" i="3"/>
  <c r="K214" i="3"/>
  <c r="L214" i="3"/>
  <c r="M214" i="3"/>
  <c r="K215" i="3"/>
  <c r="L215" i="3"/>
  <c r="M215" i="3"/>
  <c r="K233" i="3"/>
  <c r="L233" i="3"/>
  <c r="M233" i="3"/>
  <c r="K234" i="3"/>
  <c r="L234" i="3"/>
  <c r="M234" i="3"/>
  <c r="K235" i="3"/>
  <c r="L235" i="3"/>
  <c r="M235" i="3"/>
  <c r="K250" i="3"/>
  <c r="L250" i="3"/>
  <c r="M250" i="3"/>
  <c r="K251" i="3"/>
  <c r="L251" i="3"/>
  <c r="M251" i="3"/>
  <c r="K265" i="3"/>
  <c r="L265" i="3"/>
  <c r="M265" i="3"/>
  <c r="K266" i="3"/>
  <c r="L266" i="3"/>
  <c r="M266" i="3"/>
  <c r="K285" i="3"/>
  <c r="L285" i="3"/>
  <c r="M285" i="3"/>
  <c r="K286" i="3"/>
  <c r="L286" i="3"/>
  <c r="M286" i="3"/>
  <c r="K287" i="3"/>
  <c r="L287" i="3"/>
  <c r="M287" i="3"/>
  <c r="K288" i="3"/>
  <c r="L288" i="3"/>
  <c r="M288" i="3"/>
  <c r="K309" i="3"/>
  <c r="L309" i="3"/>
  <c r="M309" i="3"/>
  <c r="K310" i="3"/>
  <c r="L310" i="3"/>
  <c r="M310" i="3"/>
  <c r="K346" i="3"/>
  <c r="L346" i="3"/>
  <c r="M346" i="3"/>
  <c r="K347" i="3"/>
  <c r="L347" i="3"/>
  <c r="M347" i="3"/>
  <c r="K348" i="3"/>
  <c r="L348" i="3"/>
  <c r="M348" i="3"/>
  <c r="K399" i="3"/>
  <c r="L399" i="3"/>
  <c r="M399" i="3"/>
  <c r="K400" i="3"/>
  <c r="L400" i="3"/>
  <c r="M400" i="3"/>
  <c r="K459" i="3"/>
  <c r="L459" i="3"/>
  <c r="M459" i="3"/>
  <c r="K184" i="3"/>
  <c r="L184" i="3"/>
  <c r="M184" i="3"/>
  <c r="K201" i="3"/>
  <c r="L201" i="3"/>
  <c r="M201" i="3"/>
  <c r="K202" i="3"/>
  <c r="L202" i="3"/>
  <c r="M202" i="3"/>
  <c r="K216" i="3"/>
  <c r="L216" i="3"/>
  <c r="M216" i="3"/>
  <c r="K217" i="3"/>
  <c r="L217" i="3"/>
  <c r="M217" i="3"/>
  <c r="K218" i="3"/>
  <c r="L218" i="3"/>
  <c r="M218" i="3"/>
  <c r="K236" i="3"/>
  <c r="L236" i="3"/>
  <c r="M236" i="3"/>
  <c r="K237" i="3"/>
  <c r="L237" i="3"/>
  <c r="M237" i="3"/>
  <c r="K252" i="3"/>
  <c r="L252" i="3"/>
  <c r="M252" i="3"/>
  <c r="K253" i="3"/>
  <c r="L253" i="3"/>
  <c r="M253" i="3"/>
  <c r="K254" i="3"/>
  <c r="L254" i="3"/>
  <c r="M254" i="3"/>
  <c r="K267" i="3"/>
  <c r="L267" i="3"/>
  <c r="M267" i="3"/>
  <c r="K268" i="3"/>
  <c r="L268" i="3"/>
  <c r="M268" i="3"/>
  <c r="K289" i="3"/>
  <c r="L289" i="3"/>
  <c r="M289" i="3"/>
  <c r="K290" i="3"/>
  <c r="L290" i="3"/>
  <c r="M290" i="3"/>
  <c r="K311" i="3"/>
  <c r="L311" i="3"/>
  <c r="M311" i="3"/>
  <c r="K312" i="3"/>
  <c r="L312" i="3"/>
  <c r="M312" i="3"/>
  <c r="K328" i="3"/>
  <c r="L328" i="3"/>
  <c r="M328" i="3"/>
  <c r="K329" i="3"/>
  <c r="L329" i="3"/>
  <c r="M329" i="3"/>
  <c r="K330" i="3"/>
  <c r="L330" i="3"/>
  <c r="M330" i="3"/>
  <c r="K349" i="3"/>
  <c r="L349" i="3"/>
  <c r="M349" i="3"/>
  <c r="K350" i="3"/>
  <c r="L350" i="3"/>
  <c r="M350" i="3"/>
  <c r="K366" i="3"/>
  <c r="L366" i="3"/>
  <c r="M366" i="3"/>
  <c r="K367" i="3"/>
  <c r="L367" i="3"/>
  <c r="M367" i="3"/>
  <c r="K380" i="3"/>
  <c r="L380" i="3"/>
  <c r="M380" i="3"/>
  <c r="K381" i="3"/>
  <c r="L381" i="3"/>
  <c r="M381" i="3"/>
  <c r="K382" i="3"/>
  <c r="L382" i="3"/>
  <c r="M382" i="3"/>
  <c r="K383" i="3"/>
  <c r="L383" i="3"/>
  <c r="M383" i="3"/>
  <c r="K401" i="3"/>
  <c r="L401" i="3"/>
  <c r="M401" i="3"/>
  <c r="K402" i="3"/>
  <c r="L402" i="3"/>
  <c r="M402" i="3"/>
  <c r="K436" i="3"/>
  <c r="L436" i="3"/>
  <c r="M436" i="3"/>
  <c r="K437" i="3"/>
  <c r="L437" i="3"/>
  <c r="M437" i="3"/>
  <c r="K438" i="3"/>
  <c r="L438" i="3"/>
  <c r="M438" i="3"/>
  <c r="K460" i="3"/>
  <c r="L460" i="3"/>
  <c r="M460" i="3"/>
  <c r="K461" i="3"/>
  <c r="L461" i="3"/>
  <c r="M461" i="3"/>
  <c r="K482" i="3"/>
  <c r="L482" i="3"/>
  <c r="M482" i="3"/>
  <c r="K483" i="3"/>
  <c r="L483" i="3"/>
  <c r="M483" i="3"/>
  <c r="K508" i="3"/>
  <c r="L508" i="3"/>
  <c r="M508" i="3"/>
  <c r="K509" i="3"/>
  <c r="L509" i="3"/>
  <c r="M509" i="3"/>
  <c r="K510" i="3"/>
  <c r="L510" i="3"/>
  <c r="M510" i="3"/>
  <c r="K511" i="3"/>
  <c r="L511" i="3"/>
  <c r="M511" i="3"/>
  <c r="K538" i="3"/>
  <c r="L538" i="3"/>
  <c r="M538" i="3"/>
  <c r="K539" i="3"/>
  <c r="L539" i="3"/>
  <c r="M539" i="3"/>
  <c r="K562" i="3"/>
  <c r="L562" i="3"/>
  <c r="M562" i="3"/>
  <c r="K609" i="3"/>
  <c r="L609" i="3"/>
  <c r="M609" i="3"/>
  <c r="K610" i="3"/>
  <c r="L610" i="3"/>
  <c r="M610" i="3"/>
  <c r="K675" i="3"/>
  <c r="L675" i="3"/>
  <c r="M675" i="3"/>
  <c r="K676" i="3"/>
  <c r="L676" i="3"/>
  <c r="M676" i="3"/>
  <c r="K780" i="3"/>
  <c r="L780" i="3"/>
  <c r="M780" i="3"/>
  <c r="K269" i="3"/>
  <c r="L269" i="3"/>
  <c r="M269" i="3"/>
  <c r="K291" i="3"/>
  <c r="L291" i="3"/>
  <c r="M291" i="3"/>
  <c r="K292" i="3"/>
  <c r="L292" i="3"/>
  <c r="M292" i="3"/>
  <c r="K313" i="3"/>
  <c r="L313" i="3"/>
  <c r="M313" i="3"/>
  <c r="K314" i="3"/>
  <c r="L314" i="3"/>
  <c r="M314" i="3"/>
  <c r="K315" i="3"/>
  <c r="L315" i="3"/>
  <c r="M315" i="3"/>
  <c r="K331" i="3"/>
  <c r="L331" i="3"/>
  <c r="M331" i="3"/>
  <c r="K332" i="3"/>
  <c r="L332" i="3"/>
  <c r="M332" i="3"/>
  <c r="K351" i="3"/>
  <c r="L351" i="3"/>
  <c r="M351" i="3"/>
  <c r="K352" i="3"/>
  <c r="L352" i="3"/>
  <c r="M352" i="3"/>
  <c r="K353" i="3"/>
  <c r="L353" i="3"/>
  <c r="M353" i="3"/>
  <c r="K368" i="3"/>
  <c r="L368" i="3"/>
  <c r="M368" i="3"/>
  <c r="K369" i="3"/>
  <c r="L369" i="3"/>
  <c r="M369" i="3"/>
  <c r="K384" i="3"/>
  <c r="L384" i="3"/>
  <c r="M384" i="3"/>
  <c r="K385" i="3"/>
  <c r="L385" i="3"/>
  <c r="M385" i="3"/>
  <c r="K403" i="3"/>
  <c r="L403" i="3"/>
  <c r="M403" i="3"/>
  <c r="K404" i="3"/>
  <c r="L404" i="3"/>
  <c r="M404" i="3"/>
  <c r="K418" i="3"/>
  <c r="L418" i="3"/>
  <c r="M418" i="3"/>
  <c r="K419" i="3"/>
  <c r="L419" i="3"/>
  <c r="M419" i="3"/>
  <c r="K420" i="3"/>
  <c r="L420" i="3"/>
  <c r="M420" i="3"/>
  <c r="K439" i="3"/>
  <c r="L439" i="3"/>
  <c r="M439" i="3"/>
  <c r="K440" i="3"/>
  <c r="L440" i="3"/>
  <c r="M440" i="3"/>
  <c r="K462" i="3"/>
  <c r="L462" i="3"/>
  <c r="M462" i="3"/>
  <c r="K463" i="3"/>
  <c r="L463" i="3"/>
  <c r="M463" i="3"/>
  <c r="K484" i="3"/>
  <c r="L484" i="3"/>
  <c r="M484" i="3"/>
  <c r="K485" i="3"/>
  <c r="L485" i="3"/>
  <c r="M485" i="3"/>
  <c r="K486" i="3"/>
  <c r="L486" i="3"/>
  <c r="M486" i="3"/>
  <c r="K487" i="3"/>
  <c r="L487" i="3"/>
  <c r="M487" i="3"/>
  <c r="K512" i="3"/>
  <c r="L512" i="3"/>
  <c r="M512" i="3"/>
  <c r="K513" i="3"/>
  <c r="L513" i="3"/>
  <c r="M513" i="3"/>
  <c r="K540" i="3"/>
  <c r="L540" i="3"/>
  <c r="M540" i="3"/>
  <c r="K541" i="3"/>
  <c r="L541" i="3"/>
  <c r="M541" i="3"/>
  <c r="K542" i="3"/>
  <c r="L542" i="3"/>
  <c r="M542" i="3"/>
  <c r="K563" i="3"/>
  <c r="L563" i="3"/>
  <c r="M563" i="3"/>
  <c r="K564" i="3"/>
  <c r="L564" i="3"/>
  <c r="M564" i="3"/>
  <c r="K585" i="3"/>
  <c r="L585" i="3"/>
  <c r="M585" i="3"/>
  <c r="K586" i="3"/>
  <c r="L586" i="3"/>
  <c r="M586" i="3"/>
  <c r="K611" i="3"/>
  <c r="L611" i="3"/>
  <c r="M611" i="3"/>
  <c r="K612" i="3"/>
  <c r="L612" i="3"/>
  <c r="M612" i="3"/>
  <c r="K613" i="3"/>
  <c r="L613" i="3"/>
  <c r="M613" i="3"/>
  <c r="K614" i="3"/>
  <c r="L614" i="3"/>
  <c r="M614" i="3"/>
  <c r="K656" i="3"/>
  <c r="L656" i="3"/>
  <c r="M656" i="3"/>
  <c r="K657" i="3"/>
  <c r="L657" i="3"/>
  <c r="M657" i="3"/>
  <c r="K677" i="3"/>
  <c r="L677" i="3"/>
  <c r="M677" i="3"/>
  <c r="K678" i="3"/>
  <c r="L678" i="3"/>
  <c r="M678" i="3"/>
  <c r="K679" i="3"/>
  <c r="L679" i="3"/>
  <c r="M679" i="3"/>
  <c r="K696" i="3"/>
  <c r="L696" i="3"/>
  <c r="M696" i="3"/>
  <c r="K697" i="3"/>
  <c r="L697" i="3"/>
  <c r="M697" i="3"/>
  <c r="K719" i="3"/>
  <c r="L719" i="3"/>
  <c r="M719" i="3"/>
  <c r="K720" i="3"/>
  <c r="L720" i="3"/>
  <c r="M720" i="3"/>
  <c r="K721" i="3"/>
  <c r="L721" i="3"/>
  <c r="M721" i="3"/>
  <c r="K722" i="3"/>
  <c r="L722" i="3"/>
  <c r="M722" i="3"/>
  <c r="K757" i="3"/>
  <c r="L757" i="3"/>
  <c r="M757" i="3"/>
  <c r="K758" i="3"/>
  <c r="L758" i="3"/>
  <c r="M758" i="3"/>
  <c r="K781" i="3"/>
  <c r="L781" i="3"/>
  <c r="M781" i="3"/>
  <c r="K782" i="3"/>
  <c r="L782" i="3"/>
  <c r="M782" i="3"/>
  <c r="K811" i="3"/>
  <c r="L811" i="3"/>
  <c r="M811" i="3"/>
  <c r="K812" i="3"/>
  <c r="L812" i="3"/>
  <c r="M812" i="3"/>
  <c r="K859" i="3"/>
  <c r="L859" i="3"/>
  <c r="M859" i="3"/>
  <c r="K860" i="3"/>
  <c r="L860" i="3"/>
  <c r="M860" i="3"/>
  <c r="K861" i="3"/>
  <c r="L861" i="3"/>
  <c r="M861" i="3"/>
  <c r="K926" i="3"/>
  <c r="L926" i="3"/>
  <c r="M926" i="3"/>
  <c r="K927" i="3"/>
  <c r="L927" i="3"/>
  <c r="M927" i="3"/>
  <c r="K984" i="3"/>
  <c r="L984" i="3"/>
  <c r="M984" i="3"/>
  <c r="K405" i="3"/>
  <c r="L405" i="3"/>
  <c r="M405" i="3"/>
  <c r="K421" i="3"/>
  <c r="L421" i="3"/>
  <c r="M421" i="3"/>
  <c r="K422" i="3"/>
  <c r="L422" i="3"/>
  <c r="M422" i="3"/>
  <c r="K441" i="3"/>
  <c r="L441" i="3"/>
  <c r="M441" i="3"/>
  <c r="K442" i="3"/>
  <c r="L442" i="3"/>
  <c r="M442" i="3"/>
  <c r="K443" i="3"/>
  <c r="L443" i="3"/>
  <c r="M443" i="3"/>
  <c r="K464" i="3"/>
  <c r="L464" i="3"/>
  <c r="M464" i="3"/>
  <c r="K465" i="3"/>
  <c r="L465" i="3"/>
  <c r="M465" i="3"/>
  <c r="K488" i="3"/>
  <c r="L488" i="3"/>
  <c r="M488" i="3"/>
  <c r="K489" i="3"/>
  <c r="L489" i="3"/>
  <c r="M489" i="3"/>
  <c r="K490" i="3"/>
  <c r="L490" i="3"/>
  <c r="M490" i="3"/>
  <c r="K514" i="3"/>
  <c r="L514" i="3"/>
  <c r="M514" i="3"/>
  <c r="K515" i="3"/>
  <c r="L515" i="3"/>
  <c r="M515" i="3"/>
  <c r="K526" i="3"/>
  <c r="L526" i="3"/>
  <c r="M526" i="3"/>
  <c r="K527" i="3"/>
  <c r="L527" i="3"/>
  <c r="M527" i="3"/>
  <c r="K543" i="3"/>
  <c r="L543" i="3"/>
  <c r="M543" i="3"/>
  <c r="K544" i="3"/>
  <c r="L544" i="3"/>
  <c r="M544" i="3"/>
  <c r="K565" i="3"/>
  <c r="L565" i="3"/>
  <c r="M565" i="3"/>
  <c r="K566" i="3"/>
  <c r="L566" i="3"/>
  <c r="M566" i="3"/>
  <c r="K567" i="3"/>
  <c r="L567" i="3"/>
  <c r="M567" i="3"/>
  <c r="K587" i="3"/>
  <c r="L587" i="3"/>
  <c r="M587" i="3"/>
  <c r="K588" i="3"/>
  <c r="L588" i="3"/>
  <c r="M588" i="3"/>
  <c r="K615" i="3"/>
  <c r="L615" i="3"/>
  <c r="M615" i="3"/>
  <c r="K616" i="3"/>
  <c r="L616" i="3"/>
  <c r="M616" i="3"/>
  <c r="K636" i="3"/>
  <c r="L636" i="3"/>
  <c r="M636" i="3"/>
  <c r="K637" i="3"/>
  <c r="L637" i="3"/>
  <c r="M637" i="3"/>
  <c r="K638" i="3"/>
  <c r="L638" i="3"/>
  <c r="M638" i="3"/>
  <c r="K639" i="3"/>
  <c r="L639" i="3"/>
  <c r="M639" i="3"/>
  <c r="K658" i="3"/>
  <c r="L658" i="3"/>
  <c r="M658" i="3"/>
  <c r="K659" i="3"/>
  <c r="L659" i="3"/>
  <c r="M659" i="3"/>
  <c r="K698" i="3"/>
  <c r="L698" i="3"/>
  <c r="M698" i="3"/>
  <c r="K699" i="3"/>
  <c r="L699" i="3"/>
  <c r="M699" i="3"/>
  <c r="K700" i="3"/>
  <c r="L700" i="3"/>
  <c r="M700" i="3"/>
  <c r="K723" i="3"/>
  <c r="L723" i="3"/>
  <c r="M723" i="3"/>
  <c r="K724" i="3"/>
  <c r="L724" i="3"/>
  <c r="M724" i="3"/>
  <c r="K741" i="3"/>
  <c r="L741" i="3"/>
  <c r="M741" i="3"/>
  <c r="K742" i="3"/>
  <c r="L742" i="3"/>
  <c r="M742" i="3"/>
  <c r="K759" i="3"/>
  <c r="L759" i="3"/>
  <c r="M759" i="3"/>
  <c r="K760" i="3"/>
  <c r="L760" i="3"/>
  <c r="M760" i="3"/>
  <c r="K761" i="3"/>
  <c r="L761" i="3"/>
  <c r="M761" i="3"/>
  <c r="K762" i="3"/>
  <c r="L762" i="3"/>
  <c r="M762" i="3"/>
  <c r="K798" i="3"/>
  <c r="L798" i="3"/>
  <c r="M798" i="3"/>
  <c r="K799" i="3"/>
  <c r="L799" i="3"/>
  <c r="M799" i="3"/>
  <c r="K813" i="3"/>
  <c r="L813" i="3"/>
  <c r="M813" i="3"/>
  <c r="K814" i="3"/>
  <c r="L814" i="3"/>
  <c r="M814" i="3"/>
  <c r="K815" i="3"/>
  <c r="L815" i="3"/>
  <c r="M815" i="3"/>
  <c r="K826" i="3"/>
  <c r="L826" i="3"/>
  <c r="M826" i="3"/>
  <c r="K827" i="3"/>
  <c r="L827" i="3"/>
  <c r="M827" i="3"/>
  <c r="K842" i="3"/>
  <c r="L842" i="3"/>
  <c r="M842" i="3"/>
  <c r="K843" i="3"/>
  <c r="L843" i="3"/>
  <c r="M843" i="3"/>
  <c r="K844" i="3"/>
  <c r="L844" i="3"/>
  <c r="M844" i="3"/>
  <c r="K845" i="3"/>
  <c r="L845" i="3"/>
  <c r="M845" i="3"/>
  <c r="K875" i="3"/>
  <c r="L875" i="3"/>
  <c r="M875" i="3"/>
  <c r="K876" i="3"/>
  <c r="L876" i="3"/>
  <c r="M876" i="3"/>
  <c r="K889" i="3"/>
  <c r="L889" i="3"/>
  <c r="M889" i="3"/>
  <c r="K890" i="3"/>
  <c r="L890" i="3"/>
  <c r="M890" i="3"/>
  <c r="K906" i="3"/>
  <c r="L906" i="3"/>
  <c r="M906" i="3"/>
  <c r="K907" i="3"/>
  <c r="L907" i="3"/>
  <c r="M907" i="3"/>
  <c r="K908" i="3"/>
  <c r="L908" i="3"/>
  <c r="M908" i="3"/>
  <c r="K909" i="3"/>
  <c r="L909" i="3"/>
  <c r="M909" i="3"/>
  <c r="K928" i="3"/>
  <c r="L928" i="3"/>
  <c r="M928" i="3"/>
  <c r="K929" i="3"/>
  <c r="L929" i="3"/>
  <c r="M929" i="3"/>
  <c r="K944" i="3"/>
  <c r="L944" i="3"/>
  <c r="M944" i="3"/>
  <c r="K945" i="3"/>
  <c r="L945" i="3"/>
  <c r="M945" i="3"/>
  <c r="K959" i="3"/>
  <c r="L959" i="3"/>
  <c r="M959" i="3"/>
  <c r="K960" i="3"/>
  <c r="L960" i="3"/>
  <c r="M960" i="3"/>
  <c r="K961" i="3"/>
  <c r="L961" i="3"/>
  <c r="M961" i="3"/>
  <c r="K969" i="3"/>
  <c r="L969" i="3"/>
  <c r="M969" i="3"/>
  <c r="K970" i="3"/>
  <c r="L970" i="3"/>
  <c r="M970" i="3"/>
  <c r="K992" i="3"/>
  <c r="L992" i="3"/>
  <c r="M992" i="3"/>
  <c r="K993" i="3"/>
  <c r="L993" i="3"/>
  <c r="M993" i="3"/>
  <c r="K1008" i="3"/>
  <c r="L1008" i="3"/>
  <c r="M1008" i="3"/>
  <c r="K1009" i="3"/>
  <c r="L1009" i="3"/>
  <c r="M1009" i="3"/>
  <c r="K1027" i="3"/>
  <c r="L1027" i="3"/>
  <c r="M1027" i="3"/>
  <c r="K1028" i="3"/>
  <c r="L1028" i="3"/>
  <c r="M1028" i="3"/>
  <c r="K1044" i="3"/>
  <c r="L1044" i="3"/>
  <c r="M1044" i="3"/>
  <c r="K1064" i="3"/>
  <c r="L1064" i="3"/>
  <c r="M1064" i="3"/>
  <c r="K1065" i="3"/>
  <c r="L1065" i="3"/>
  <c r="M1065" i="3"/>
  <c r="K1097" i="3"/>
  <c r="L1097" i="3"/>
  <c r="M1097" i="3"/>
  <c r="K1098" i="3"/>
  <c r="L1098" i="3"/>
  <c r="M1098" i="3"/>
  <c r="K1124" i="3"/>
  <c r="L1124" i="3"/>
  <c r="M1124" i="3"/>
  <c r="K545" i="3"/>
  <c r="L545" i="3"/>
  <c r="M545" i="3"/>
  <c r="K568" i="3"/>
  <c r="L568" i="3"/>
  <c r="M568" i="3"/>
  <c r="K569" i="3"/>
  <c r="L569" i="3"/>
  <c r="M569" i="3"/>
  <c r="K589" i="3"/>
  <c r="L589" i="3"/>
  <c r="M589" i="3"/>
  <c r="K590" i="3"/>
  <c r="L590" i="3"/>
  <c r="M590" i="3"/>
  <c r="K591" i="3"/>
  <c r="L591" i="3"/>
  <c r="M591" i="3"/>
  <c r="K617" i="3"/>
  <c r="L617" i="3"/>
  <c r="M617" i="3"/>
  <c r="K618" i="3"/>
  <c r="L618" i="3"/>
  <c r="M618" i="3"/>
  <c r="K640" i="3"/>
  <c r="L640" i="3"/>
  <c r="M640" i="3"/>
  <c r="K641" i="3"/>
  <c r="L641" i="3"/>
  <c r="M641" i="3"/>
  <c r="K642" i="3"/>
  <c r="L642" i="3"/>
  <c r="M642" i="3"/>
  <c r="K660" i="3"/>
  <c r="L660" i="3"/>
  <c r="M660" i="3"/>
  <c r="K661" i="3"/>
  <c r="L661" i="3"/>
  <c r="M661" i="3"/>
  <c r="K680" i="3"/>
  <c r="L680" i="3"/>
  <c r="M680" i="3"/>
  <c r="K681" i="3"/>
  <c r="L681" i="3"/>
  <c r="M681" i="3"/>
  <c r="K701" i="3"/>
  <c r="L701" i="3"/>
  <c r="M701" i="3"/>
  <c r="K702" i="3"/>
  <c r="L702" i="3"/>
  <c r="M702" i="3"/>
  <c r="K725" i="3"/>
  <c r="L725" i="3"/>
  <c r="M725" i="3"/>
  <c r="K726" i="3"/>
  <c r="L726" i="3"/>
  <c r="M726" i="3"/>
  <c r="K727" i="3"/>
  <c r="L727" i="3"/>
  <c r="M727" i="3"/>
  <c r="K743" i="3"/>
  <c r="L743" i="3"/>
  <c r="M743" i="3"/>
  <c r="K744" i="3"/>
  <c r="L744" i="3"/>
  <c r="M744" i="3"/>
  <c r="K763" i="3"/>
  <c r="L763" i="3"/>
  <c r="M763" i="3"/>
  <c r="K764" i="3"/>
  <c r="L764" i="3"/>
  <c r="M764" i="3"/>
  <c r="K783" i="3"/>
  <c r="L783" i="3"/>
  <c r="M783" i="3"/>
  <c r="K784" i="3"/>
  <c r="L784" i="3"/>
  <c r="M784" i="3"/>
  <c r="K785" i="3"/>
  <c r="L785" i="3"/>
  <c r="M785" i="3"/>
  <c r="K786" i="3"/>
  <c r="L786" i="3"/>
  <c r="M786" i="3"/>
  <c r="K800" i="3"/>
  <c r="L800" i="3"/>
  <c r="M800" i="3"/>
  <c r="K801" i="3"/>
  <c r="L801" i="3"/>
  <c r="M801" i="3"/>
  <c r="K828" i="3"/>
  <c r="L828" i="3"/>
  <c r="M828" i="3"/>
  <c r="K829" i="3"/>
  <c r="L829" i="3"/>
  <c r="M829" i="3"/>
  <c r="K830" i="3"/>
  <c r="L830" i="3"/>
  <c r="M830" i="3"/>
  <c r="K846" i="3"/>
  <c r="L846" i="3"/>
  <c r="M846" i="3"/>
  <c r="K847" i="3"/>
  <c r="L847" i="3"/>
  <c r="M847" i="3"/>
  <c r="K862" i="3"/>
  <c r="L862" i="3"/>
  <c r="M862" i="3"/>
  <c r="K863" i="3"/>
  <c r="L863" i="3"/>
  <c r="M863" i="3"/>
  <c r="K877" i="3"/>
  <c r="L877" i="3"/>
  <c r="M877" i="3"/>
  <c r="K878" i="3"/>
  <c r="L878" i="3"/>
  <c r="M878" i="3"/>
  <c r="K879" i="3"/>
  <c r="L879" i="3"/>
  <c r="M879" i="3"/>
  <c r="K880" i="3"/>
  <c r="L880" i="3"/>
  <c r="M880" i="3"/>
  <c r="K895" i="3"/>
  <c r="L895" i="3"/>
  <c r="M895" i="3"/>
  <c r="K896" i="3"/>
  <c r="L896" i="3"/>
  <c r="M896" i="3"/>
  <c r="K910" i="3"/>
  <c r="L910" i="3"/>
  <c r="M910" i="3"/>
  <c r="K911" i="3"/>
  <c r="L911" i="3"/>
  <c r="M911" i="3"/>
  <c r="K912" i="3"/>
  <c r="L912" i="3"/>
  <c r="M912" i="3"/>
  <c r="K930" i="3"/>
  <c r="L930" i="3"/>
  <c r="M930" i="3"/>
  <c r="K931" i="3"/>
  <c r="L931" i="3"/>
  <c r="M931" i="3"/>
  <c r="K946" i="3"/>
  <c r="L946" i="3"/>
  <c r="M946" i="3"/>
  <c r="K947" i="3"/>
  <c r="L947" i="3"/>
  <c r="M947" i="3"/>
  <c r="K948" i="3"/>
  <c r="L948" i="3"/>
  <c r="M948" i="3"/>
  <c r="K949" i="3"/>
  <c r="L949" i="3"/>
  <c r="M949" i="3"/>
  <c r="K971" i="3"/>
  <c r="L971" i="3"/>
  <c r="M971" i="3"/>
  <c r="K972" i="3"/>
  <c r="L972" i="3"/>
  <c r="M972" i="3"/>
  <c r="K979" i="3"/>
  <c r="L979" i="3"/>
  <c r="M979" i="3"/>
  <c r="K980" i="3"/>
  <c r="L980" i="3"/>
  <c r="M980" i="3"/>
  <c r="K994" i="3"/>
  <c r="L994" i="3"/>
  <c r="M994" i="3"/>
  <c r="K995" i="3"/>
  <c r="L995" i="3"/>
  <c r="M995" i="3"/>
  <c r="K996" i="3"/>
  <c r="L996" i="3"/>
  <c r="M996" i="3"/>
  <c r="K997" i="3"/>
  <c r="L997" i="3"/>
  <c r="M997" i="3"/>
  <c r="K1010" i="3"/>
  <c r="L1010" i="3"/>
  <c r="M1010" i="3"/>
  <c r="K1011" i="3"/>
  <c r="L1011" i="3"/>
  <c r="M1011" i="3"/>
  <c r="K1018" i="3"/>
  <c r="L1018" i="3"/>
  <c r="M1018" i="3"/>
  <c r="K1019" i="3"/>
  <c r="L1019" i="3"/>
  <c r="M1019" i="3"/>
  <c r="K1029" i="3"/>
  <c r="L1029" i="3"/>
  <c r="M1029" i="3"/>
  <c r="K1030" i="3"/>
  <c r="L1030" i="3"/>
  <c r="M1030" i="3"/>
  <c r="K1031" i="3"/>
  <c r="L1031" i="3"/>
  <c r="M1031" i="3"/>
  <c r="K1039" i="3"/>
  <c r="L1039" i="3"/>
  <c r="M1039" i="3"/>
  <c r="K1040" i="3"/>
  <c r="L1040" i="3"/>
  <c r="M1040" i="3"/>
  <c r="K1050" i="3"/>
  <c r="L1050" i="3"/>
  <c r="M1050" i="3"/>
  <c r="K1051" i="3"/>
  <c r="L1051" i="3"/>
  <c r="M1051" i="3"/>
  <c r="K1052" i="3"/>
  <c r="L1052" i="3"/>
  <c r="M1052" i="3"/>
  <c r="K1053" i="3"/>
  <c r="L1053" i="3"/>
  <c r="M1053" i="3"/>
  <c r="K1066" i="3"/>
  <c r="L1066" i="3"/>
  <c r="M1066" i="3"/>
  <c r="K1067" i="3"/>
  <c r="L1067" i="3"/>
  <c r="M1067" i="3"/>
  <c r="K1068" i="3"/>
  <c r="L1068" i="3"/>
  <c r="M1068" i="3"/>
  <c r="K1069" i="3"/>
  <c r="L1069" i="3"/>
  <c r="M1069" i="3"/>
  <c r="K1078" i="3"/>
  <c r="L1078" i="3"/>
  <c r="M1078" i="3"/>
  <c r="K1079" i="3"/>
  <c r="L1079" i="3"/>
  <c r="M1079" i="3"/>
  <c r="K1084" i="3"/>
  <c r="L1084" i="3"/>
  <c r="M1084" i="3"/>
  <c r="K1085" i="3"/>
  <c r="L1085" i="3"/>
  <c r="M1085" i="3"/>
  <c r="K1090" i="3"/>
  <c r="L1090" i="3"/>
  <c r="M1090" i="3"/>
  <c r="K1091" i="3"/>
  <c r="L1091" i="3"/>
  <c r="M1091" i="3"/>
  <c r="K1099" i="3"/>
  <c r="L1099" i="3"/>
  <c r="M1099" i="3"/>
  <c r="K1105" i="3"/>
  <c r="L1105" i="3"/>
  <c r="M1105" i="3"/>
  <c r="K1106" i="3"/>
  <c r="L1106" i="3"/>
  <c r="M1106" i="3"/>
  <c r="K1111" i="3"/>
  <c r="L1111" i="3"/>
  <c r="M1111" i="3"/>
  <c r="K1112" i="3"/>
  <c r="L1112" i="3"/>
  <c r="M1112" i="3"/>
  <c r="K1117" i="3"/>
  <c r="L1117" i="3"/>
  <c r="M1117" i="3"/>
  <c r="K1118" i="3"/>
  <c r="L1118" i="3"/>
  <c r="M1118" i="3"/>
  <c r="K1125" i="3"/>
  <c r="L1125" i="3"/>
  <c r="M1125" i="3"/>
  <c r="K1126" i="3"/>
  <c r="L1126" i="3"/>
  <c r="M1126" i="3"/>
  <c r="K1132" i="3"/>
  <c r="L1132" i="3"/>
  <c r="M1132" i="3"/>
  <c r="K1133" i="3"/>
  <c r="L1133" i="3"/>
  <c r="M1133" i="3"/>
  <c r="K1139" i="3"/>
  <c r="L1139" i="3"/>
  <c r="M1139" i="3"/>
  <c r="K1140" i="3"/>
  <c r="L1140" i="3"/>
  <c r="M1140" i="3"/>
  <c r="K1141" i="3"/>
  <c r="L1141" i="3"/>
  <c r="M1141" i="3"/>
  <c r="K1147" i="3"/>
  <c r="L1147" i="3"/>
  <c r="M1147" i="3"/>
  <c r="K1148" i="3"/>
  <c r="L1148" i="3"/>
  <c r="M1148" i="3"/>
  <c r="K1152" i="3"/>
  <c r="L1152" i="3"/>
  <c r="M1152" i="3"/>
  <c r="M6" i="3"/>
  <c r="K521" i="3"/>
  <c r="L521" i="3"/>
  <c r="M521" i="3"/>
  <c r="K548" i="3"/>
  <c r="L548" i="3"/>
  <c r="M548" i="3"/>
  <c r="K549" i="3"/>
  <c r="L549" i="3"/>
  <c r="M549" i="3"/>
  <c r="K550" i="3"/>
  <c r="L550" i="3"/>
  <c r="M550" i="3"/>
  <c r="K571" i="3"/>
  <c r="L571" i="3"/>
  <c r="M571" i="3"/>
  <c r="K572" i="3"/>
  <c r="L572" i="3"/>
  <c r="M572" i="3"/>
  <c r="K592" i="3"/>
  <c r="L592" i="3"/>
  <c r="M592" i="3"/>
  <c r="K593" i="3"/>
  <c r="L593" i="3"/>
  <c r="M593" i="3"/>
  <c r="K621" i="3"/>
  <c r="L621" i="3"/>
  <c r="M621" i="3"/>
  <c r="K622" i="3"/>
  <c r="L622" i="3"/>
  <c r="M622" i="3"/>
  <c r="K623" i="3"/>
  <c r="L623" i="3"/>
  <c r="M623" i="3"/>
  <c r="K624" i="3"/>
  <c r="L624" i="3"/>
  <c r="M624" i="3"/>
  <c r="K662" i="3"/>
  <c r="L662" i="3"/>
  <c r="M662" i="3"/>
  <c r="K663" i="3"/>
  <c r="L663" i="3"/>
  <c r="M663" i="3"/>
  <c r="K684" i="3"/>
  <c r="L684" i="3"/>
  <c r="M684" i="3"/>
  <c r="K685" i="3"/>
  <c r="L685" i="3"/>
  <c r="M685" i="3"/>
  <c r="K686" i="3"/>
  <c r="L686" i="3"/>
  <c r="M686" i="3"/>
  <c r="K703" i="3"/>
  <c r="L703" i="3"/>
  <c r="M703" i="3"/>
  <c r="K704" i="3"/>
  <c r="L704" i="3"/>
  <c r="M704" i="3"/>
  <c r="K728" i="3"/>
  <c r="L728" i="3"/>
  <c r="M728" i="3"/>
  <c r="K729" i="3"/>
  <c r="L729" i="3"/>
  <c r="M729" i="3"/>
  <c r="K730" i="3"/>
  <c r="L730" i="3"/>
  <c r="M730" i="3"/>
  <c r="K731" i="3"/>
  <c r="L731" i="3"/>
  <c r="M731" i="3"/>
  <c r="K765" i="3"/>
  <c r="L765" i="3"/>
  <c r="M765" i="3"/>
  <c r="K766" i="3"/>
  <c r="L766" i="3"/>
  <c r="M766" i="3"/>
  <c r="K788" i="3"/>
  <c r="L788" i="3"/>
  <c r="M788" i="3"/>
  <c r="K789" i="3"/>
  <c r="L789" i="3"/>
  <c r="M789" i="3"/>
  <c r="K816" i="3"/>
  <c r="L816" i="3"/>
  <c r="M816" i="3"/>
  <c r="K817" i="3"/>
  <c r="L817" i="3"/>
  <c r="M817" i="3"/>
  <c r="K864" i="3"/>
  <c r="L864" i="3"/>
  <c r="M864" i="3"/>
  <c r="K865" i="3"/>
  <c r="L865" i="3"/>
  <c r="M865" i="3"/>
  <c r="K866" i="3"/>
  <c r="L866" i="3"/>
  <c r="M866" i="3"/>
  <c r="K932" i="3"/>
  <c r="L932" i="3"/>
  <c r="M932" i="3"/>
  <c r="K933" i="3"/>
  <c r="L933" i="3"/>
  <c r="M933" i="3"/>
  <c r="K985" i="3"/>
  <c r="L985" i="3"/>
  <c r="M985" i="3"/>
  <c r="K412" i="3"/>
  <c r="L412" i="3"/>
  <c r="M412" i="3"/>
  <c r="K426" i="3"/>
  <c r="L426" i="3"/>
  <c r="M426" i="3"/>
  <c r="K427" i="3"/>
  <c r="L427" i="3"/>
  <c r="M427" i="3"/>
  <c r="K449" i="3"/>
  <c r="L449" i="3"/>
  <c r="M449" i="3"/>
  <c r="K450" i="3"/>
  <c r="L450" i="3"/>
  <c r="M450" i="3"/>
  <c r="K451" i="3"/>
  <c r="L451" i="3"/>
  <c r="M451" i="3"/>
  <c r="K471" i="3"/>
  <c r="L471" i="3"/>
  <c r="M471" i="3"/>
  <c r="K472" i="3"/>
  <c r="L472" i="3"/>
  <c r="M472" i="3"/>
  <c r="K497" i="3"/>
  <c r="L497" i="3"/>
  <c r="M497" i="3"/>
  <c r="K498" i="3"/>
  <c r="L498" i="3"/>
  <c r="M498" i="3"/>
  <c r="K499" i="3"/>
  <c r="L499" i="3"/>
  <c r="M499" i="3"/>
  <c r="K522" i="3"/>
  <c r="L522" i="3"/>
  <c r="M522" i="3"/>
  <c r="K523" i="3"/>
  <c r="L523" i="3"/>
  <c r="M523" i="3"/>
  <c r="K528" i="3"/>
  <c r="L528" i="3"/>
  <c r="M528" i="3"/>
  <c r="K529" i="3"/>
  <c r="L529" i="3"/>
  <c r="M529" i="3"/>
  <c r="K551" i="3"/>
  <c r="L551" i="3"/>
  <c r="M551" i="3"/>
  <c r="K552" i="3"/>
  <c r="L552" i="3"/>
  <c r="M552" i="3"/>
  <c r="K573" i="3"/>
  <c r="L573" i="3"/>
  <c r="M573" i="3"/>
  <c r="K574" i="3"/>
  <c r="L574" i="3"/>
  <c r="M574" i="3"/>
  <c r="K575" i="3"/>
  <c r="L575" i="3"/>
  <c r="M575" i="3"/>
  <c r="K594" i="3"/>
  <c r="L594" i="3"/>
  <c r="M594" i="3"/>
  <c r="K595" i="3"/>
  <c r="L595" i="3"/>
  <c r="M595" i="3"/>
  <c r="K625" i="3"/>
  <c r="L625" i="3"/>
  <c r="M625" i="3"/>
  <c r="K626" i="3"/>
  <c r="L626" i="3"/>
  <c r="M626" i="3"/>
  <c r="K643" i="3"/>
  <c r="L643" i="3"/>
  <c r="M643" i="3"/>
  <c r="K644" i="3"/>
  <c r="L644" i="3"/>
  <c r="M644" i="3"/>
  <c r="K645" i="3"/>
  <c r="L645" i="3"/>
  <c r="M645" i="3"/>
  <c r="K646" i="3"/>
  <c r="L646" i="3"/>
  <c r="M646" i="3"/>
  <c r="K664" i="3"/>
  <c r="L664" i="3"/>
  <c r="M664" i="3"/>
  <c r="K665" i="3"/>
  <c r="L665" i="3"/>
  <c r="M665" i="3"/>
  <c r="K705" i="3"/>
  <c r="L705" i="3"/>
  <c r="M705" i="3"/>
  <c r="K706" i="3"/>
  <c r="L706" i="3"/>
  <c r="M706" i="3"/>
  <c r="K707" i="3"/>
  <c r="L707" i="3"/>
  <c r="M707" i="3"/>
  <c r="K732" i="3"/>
  <c r="L732" i="3"/>
  <c r="M732" i="3"/>
  <c r="K733" i="3"/>
  <c r="L733" i="3"/>
  <c r="M733" i="3"/>
  <c r="K745" i="3"/>
  <c r="L745" i="3"/>
  <c r="M745" i="3"/>
  <c r="K746" i="3"/>
  <c r="L746" i="3"/>
  <c r="M746" i="3"/>
  <c r="K767" i="3"/>
  <c r="L767" i="3"/>
  <c r="M767" i="3"/>
  <c r="K768" i="3"/>
  <c r="L768" i="3"/>
  <c r="M768" i="3"/>
  <c r="K769" i="3"/>
  <c r="L769" i="3"/>
  <c r="M769" i="3"/>
  <c r="K770" i="3"/>
  <c r="L770" i="3"/>
  <c r="M770" i="3"/>
  <c r="K802" i="3"/>
  <c r="L802" i="3"/>
  <c r="M802" i="3"/>
  <c r="K803" i="3"/>
  <c r="L803" i="3"/>
  <c r="M803" i="3"/>
  <c r="K818" i="3"/>
  <c r="L818" i="3"/>
  <c r="M818" i="3"/>
  <c r="K819" i="3"/>
  <c r="L819" i="3"/>
  <c r="M819" i="3"/>
  <c r="K820" i="3"/>
  <c r="L820" i="3"/>
  <c r="M820" i="3"/>
  <c r="K831" i="3"/>
  <c r="L831" i="3"/>
  <c r="M831" i="3"/>
  <c r="K832" i="3"/>
  <c r="L832" i="3"/>
  <c r="M832" i="3"/>
  <c r="K848" i="3"/>
  <c r="L848" i="3"/>
  <c r="M848" i="3"/>
  <c r="K849" i="3"/>
  <c r="L849" i="3"/>
  <c r="M849" i="3"/>
  <c r="K850" i="3"/>
  <c r="L850" i="3"/>
  <c r="M850" i="3"/>
  <c r="K851" i="3"/>
  <c r="L851" i="3"/>
  <c r="M851" i="3"/>
  <c r="K881" i="3"/>
  <c r="L881" i="3"/>
  <c r="M881" i="3"/>
  <c r="K882" i="3"/>
  <c r="L882" i="3"/>
  <c r="M882" i="3"/>
  <c r="K891" i="3"/>
  <c r="L891" i="3"/>
  <c r="M891" i="3"/>
  <c r="K892" i="3"/>
  <c r="L892" i="3"/>
  <c r="M892" i="3"/>
  <c r="K913" i="3"/>
  <c r="L913" i="3"/>
  <c r="M913" i="3"/>
  <c r="K914" i="3"/>
  <c r="L914" i="3"/>
  <c r="M914" i="3"/>
  <c r="K915" i="3"/>
  <c r="L915" i="3"/>
  <c r="M915" i="3"/>
  <c r="K916" i="3"/>
  <c r="L916" i="3"/>
  <c r="M916" i="3"/>
  <c r="K934" i="3"/>
  <c r="L934" i="3"/>
  <c r="M934" i="3"/>
  <c r="K935" i="3"/>
  <c r="L935" i="3"/>
  <c r="M935" i="3"/>
  <c r="K950" i="3"/>
  <c r="L950" i="3"/>
  <c r="M950" i="3"/>
  <c r="K951" i="3"/>
  <c r="L951" i="3"/>
  <c r="M951" i="3"/>
  <c r="K962" i="3"/>
  <c r="L962" i="3"/>
  <c r="M962" i="3"/>
  <c r="K963" i="3"/>
  <c r="L963" i="3"/>
  <c r="M963" i="3"/>
  <c r="K964" i="3"/>
  <c r="L964" i="3"/>
  <c r="M964" i="3"/>
  <c r="K973" i="3"/>
  <c r="L973" i="3"/>
  <c r="M973" i="3"/>
  <c r="K974" i="3"/>
  <c r="L974" i="3"/>
  <c r="M974" i="3"/>
  <c r="K998" i="3"/>
  <c r="L998" i="3"/>
  <c r="M998" i="3"/>
  <c r="K999" i="3"/>
  <c r="L999" i="3"/>
  <c r="M999" i="3"/>
  <c r="K1012" i="3"/>
  <c r="L1012" i="3"/>
  <c r="M1012" i="3"/>
  <c r="K1013" i="3"/>
  <c r="L1013" i="3"/>
  <c r="M1013" i="3"/>
  <c r="K1032" i="3"/>
  <c r="L1032" i="3"/>
  <c r="M1032" i="3"/>
  <c r="K1033" i="3"/>
  <c r="L1033" i="3"/>
  <c r="M1033" i="3"/>
  <c r="K1045" i="3"/>
  <c r="L1045" i="3"/>
  <c r="M1045" i="3"/>
  <c r="K1070" i="3"/>
  <c r="L1070" i="3"/>
  <c r="M1070" i="3"/>
  <c r="K1071" i="3"/>
  <c r="L1071" i="3"/>
  <c r="M1071" i="3"/>
  <c r="K1100" i="3"/>
  <c r="L1100" i="3"/>
  <c r="M1100" i="3"/>
  <c r="K1101" i="3"/>
  <c r="L1101" i="3"/>
  <c r="M1101" i="3"/>
  <c r="K1127" i="3"/>
  <c r="L1127" i="3"/>
  <c r="M1127" i="3"/>
  <c r="K553" i="3"/>
  <c r="L553" i="3"/>
  <c r="M553" i="3"/>
  <c r="K576" i="3"/>
  <c r="L576" i="3"/>
  <c r="M576" i="3"/>
  <c r="K577" i="3"/>
  <c r="L577" i="3"/>
  <c r="M577" i="3"/>
  <c r="K596" i="3"/>
  <c r="L596" i="3"/>
  <c r="M596" i="3"/>
  <c r="K597" i="3"/>
  <c r="L597" i="3"/>
  <c r="M597" i="3"/>
  <c r="K598" i="3"/>
  <c r="L598" i="3"/>
  <c r="M598" i="3"/>
  <c r="K627" i="3"/>
  <c r="L627" i="3"/>
  <c r="M627" i="3"/>
  <c r="K628" i="3"/>
  <c r="L628" i="3"/>
  <c r="M628" i="3"/>
  <c r="K647" i="3"/>
  <c r="L647" i="3"/>
  <c r="M647" i="3"/>
  <c r="K648" i="3"/>
  <c r="L648" i="3"/>
  <c r="M648" i="3"/>
  <c r="K649" i="3"/>
  <c r="L649" i="3"/>
  <c r="M649" i="3"/>
  <c r="K666" i="3"/>
  <c r="L666" i="3"/>
  <c r="M666" i="3"/>
  <c r="K667" i="3"/>
  <c r="L667" i="3"/>
  <c r="M667" i="3"/>
  <c r="K687" i="3"/>
  <c r="L687" i="3"/>
  <c r="M687" i="3"/>
  <c r="K688" i="3"/>
  <c r="L688" i="3"/>
  <c r="M688" i="3"/>
  <c r="K708" i="3"/>
  <c r="L708" i="3"/>
  <c r="M708" i="3"/>
  <c r="K709" i="3"/>
  <c r="L709" i="3"/>
  <c r="M709" i="3"/>
  <c r="K734" i="3"/>
  <c r="L734" i="3"/>
  <c r="M734" i="3"/>
  <c r="K735" i="3"/>
  <c r="L735" i="3"/>
  <c r="M735" i="3"/>
  <c r="K736" i="3"/>
  <c r="L736" i="3"/>
  <c r="M736" i="3"/>
  <c r="K747" i="3"/>
  <c r="L747" i="3"/>
  <c r="M747" i="3"/>
  <c r="K748" i="3"/>
  <c r="L748" i="3"/>
  <c r="M748" i="3"/>
  <c r="K771" i="3"/>
  <c r="L771" i="3"/>
  <c r="M771" i="3"/>
  <c r="K772" i="3"/>
  <c r="L772" i="3"/>
  <c r="M772" i="3"/>
  <c r="K790" i="3"/>
  <c r="L790" i="3"/>
  <c r="M790" i="3"/>
  <c r="K791" i="3"/>
  <c r="L791" i="3"/>
  <c r="M791" i="3"/>
  <c r="K792" i="3"/>
  <c r="L792" i="3"/>
  <c r="M792" i="3"/>
  <c r="K793" i="3"/>
  <c r="L793" i="3"/>
  <c r="M793" i="3"/>
  <c r="K804" i="3"/>
  <c r="L804" i="3"/>
  <c r="M804" i="3"/>
  <c r="K805" i="3"/>
  <c r="L805" i="3"/>
  <c r="M805" i="3"/>
  <c r="K833" i="3"/>
  <c r="L833" i="3"/>
  <c r="M833" i="3"/>
  <c r="K834" i="3"/>
  <c r="L834" i="3"/>
  <c r="M834" i="3"/>
  <c r="K835" i="3"/>
  <c r="L835" i="3"/>
  <c r="M835" i="3"/>
  <c r="K852" i="3"/>
  <c r="L852" i="3"/>
  <c r="M852" i="3"/>
  <c r="K853" i="3"/>
  <c r="L853" i="3"/>
  <c r="M853" i="3"/>
  <c r="K867" i="3"/>
  <c r="L867" i="3"/>
  <c r="M867" i="3"/>
  <c r="K868" i="3"/>
  <c r="L868" i="3"/>
  <c r="M868" i="3"/>
  <c r="K883" i="3"/>
  <c r="L883" i="3"/>
  <c r="M883" i="3"/>
  <c r="K884" i="3"/>
  <c r="L884" i="3"/>
  <c r="M884" i="3"/>
  <c r="K885" i="3"/>
  <c r="L885" i="3"/>
  <c r="M885" i="3"/>
  <c r="K886" i="3"/>
  <c r="L886" i="3"/>
  <c r="M886" i="3"/>
  <c r="K897" i="3"/>
  <c r="L897" i="3"/>
  <c r="M897" i="3"/>
  <c r="K898" i="3"/>
  <c r="L898" i="3"/>
  <c r="M898" i="3"/>
  <c r="K917" i="3"/>
  <c r="L917" i="3"/>
  <c r="M917" i="3"/>
  <c r="K918" i="3"/>
  <c r="L918" i="3"/>
  <c r="M918" i="3"/>
  <c r="K919" i="3"/>
  <c r="L919" i="3"/>
  <c r="M919" i="3"/>
  <c r="K936" i="3"/>
  <c r="L936" i="3"/>
  <c r="M936" i="3"/>
  <c r="K937" i="3"/>
  <c r="L937" i="3"/>
  <c r="M937" i="3"/>
  <c r="K952" i="3"/>
  <c r="L952" i="3"/>
  <c r="M952" i="3"/>
  <c r="K953" i="3"/>
  <c r="L953" i="3"/>
  <c r="M953" i="3"/>
  <c r="K954" i="3"/>
  <c r="L954" i="3"/>
  <c r="M954" i="3"/>
  <c r="K955" i="3"/>
  <c r="L955" i="3"/>
  <c r="M955" i="3"/>
  <c r="K975" i="3"/>
  <c r="L975" i="3"/>
  <c r="M975" i="3"/>
  <c r="K976" i="3"/>
  <c r="L976" i="3"/>
  <c r="M976" i="3"/>
  <c r="K981" i="3"/>
  <c r="L981" i="3"/>
  <c r="M981" i="3"/>
  <c r="K982" i="3"/>
  <c r="L982" i="3"/>
  <c r="M982" i="3"/>
  <c r="K1000" i="3"/>
  <c r="L1000" i="3"/>
  <c r="M1000" i="3"/>
  <c r="K1001" i="3"/>
  <c r="L1001" i="3"/>
  <c r="M1001" i="3"/>
  <c r="K1002" i="3"/>
  <c r="L1002" i="3"/>
  <c r="M1002" i="3"/>
  <c r="K1003" i="3"/>
  <c r="L1003" i="3"/>
  <c r="M1003" i="3"/>
  <c r="K1014" i="3"/>
  <c r="L1014" i="3"/>
  <c r="M1014" i="3"/>
  <c r="K1015" i="3"/>
  <c r="L1015" i="3"/>
  <c r="M1015" i="3"/>
  <c r="K1020" i="3"/>
  <c r="L1020" i="3"/>
  <c r="M1020" i="3"/>
  <c r="K1021" i="3"/>
  <c r="L1021" i="3"/>
  <c r="M1021" i="3"/>
  <c r="K1034" i="3"/>
  <c r="L1034" i="3"/>
  <c r="M1034" i="3"/>
  <c r="K1035" i="3"/>
  <c r="L1035" i="3"/>
  <c r="M1035" i="3"/>
  <c r="K1036" i="3"/>
  <c r="L1036" i="3"/>
  <c r="M1036" i="3"/>
  <c r="K1041" i="3"/>
  <c r="L1041" i="3"/>
  <c r="M1041" i="3"/>
  <c r="K1042" i="3"/>
  <c r="L1042" i="3"/>
  <c r="M1042" i="3"/>
  <c r="K1054" i="3"/>
  <c r="L1054" i="3"/>
  <c r="M1054" i="3"/>
  <c r="K1055" i="3"/>
  <c r="L1055" i="3"/>
  <c r="M1055" i="3"/>
  <c r="K1056" i="3"/>
  <c r="L1056" i="3"/>
  <c r="M1056" i="3"/>
  <c r="K1057" i="3"/>
  <c r="L1057" i="3"/>
  <c r="M1057" i="3"/>
  <c r="K1072" i="3"/>
  <c r="L1072" i="3"/>
  <c r="M1072" i="3"/>
  <c r="K1073" i="3"/>
  <c r="L1073" i="3"/>
  <c r="M1073" i="3"/>
  <c r="K1074" i="3"/>
  <c r="L1074" i="3"/>
  <c r="M1074" i="3"/>
  <c r="K1075" i="3"/>
  <c r="L1075" i="3"/>
  <c r="M1075" i="3"/>
  <c r="K1080" i="3"/>
  <c r="L1080" i="3"/>
  <c r="M1080" i="3"/>
  <c r="K1081" i="3"/>
  <c r="L1081" i="3"/>
  <c r="M1081" i="3"/>
  <c r="K1086" i="3"/>
  <c r="L1086" i="3"/>
  <c r="M1086" i="3"/>
  <c r="K1087" i="3"/>
  <c r="L1087" i="3"/>
  <c r="M1087" i="3"/>
  <c r="K1092" i="3"/>
  <c r="L1092" i="3"/>
  <c r="M1092" i="3"/>
  <c r="K1093" i="3"/>
  <c r="L1093" i="3"/>
  <c r="M1093" i="3"/>
  <c r="K1102" i="3"/>
  <c r="L1102" i="3"/>
  <c r="M1102" i="3"/>
  <c r="K1107" i="3"/>
  <c r="L1107" i="3"/>
  <c r="M1107" i="3"/>
  <c r="K1108" i="3"/>
  <c r="L1108" i="3"/>
  <c r="M1108" i="3"/>
  <c r="K1113" i="3"/>
  <c r="L1113" i="3"/>
  <c r="M1113" i="3"/>
  <c r="K1114" i="3"/>
  <c r="L1114" i="3"/>
  <c r="M1114" i="3"/>
  <c r="K1119" i="3"/>
  <c r="L1119" i="3"/>
  <c r="M1119" i="3"/>
  <c r="K1120" i="3"/>
  <c r="L1120" i="3"/>
  <c r="M1120" i="3"/>
  <c r="K1128" i="3"/>
  <c r="L1128" i="3"/>
  <c r="M1128" i="3"/>
  <c r="K1129" i="3"/>
  <c r="L1129" i="3"/>
  <c r="M1129" i="3"/>
  <c r="K1134" i="3"/>
  <c r="L1134" i="3"/>
  <c r="M1134" i="3"/>
  <c r="K1135" i="3"/>
  <c r="L1135" i="3"/>
  <c r="M1135" i="3"/>
  <c r="K1142" i="3"/>
  <c r="L1142" i="3"/>
  <c r="M1142" i="3"/>
  <c r="K1143" i="3"/>
  <c r="L1143" i="3"/>
  <c r="M1143" i="3"/>
  <c r="K1144" i="3"/>
  <c r="L1144" i="3"/>
  <c r="M1144" i="3"/>
  <c r="K1149" i="3"/>
  <c r="L1149" i="3"/>
  <c r="M1149" i="3"/>
  <c r="K1150" i="3"/>
  <c r="L1150" i="3"/>
  <c r="M1150" i="3"/>
  <c r="K1153" i="3"/>
  <c r="L1153" i="3"/>
  <c r="M1153" i="3"/>
  <c r="K94" i="3"/>
  <c r="L94" i="3"/>
  <c r="M94" i="3"/>
  <c r="K108" i="3"/>
  <c r="L108" i="3"/>
  <c r="M108" i="3"/>
  <c r="K109" i="3"/>
  <c r="L109" i="3"/>
  <c r="M109" i="3"/>
  <c r="K140" i="3"/>
  <c r="L140" i="3"/>
  <c r="M140" i="3"/>
  <c r="K67" i="3"/>
  <c r="L67" i="3"/>
  <c r="M67" i="3"/>
  <c r="K81" i="3"/>
  <c r="L81" i="3"/>
  <c r="M81" i="3"/>
  <c r="K82" i="3"/>
  <c r="L82" i="3"/>
  <c r="M82" i="3"/>
  <c r="K95" i="3"/>
  <c r="L95" i="3"/>
  <c r="M95" i="3"/>
  <c r="K96" i="3"/>
  <c r="L96" i="3"/>
  <c r="M96" i="3"/>
  <c r="K97" i="3"/>
  <c r="L97" i="3"/>
  <c r="M97" i="3"/>
  <c r="K110" i="3"/>
  <c r="L110" i="3"/>
  <c r="M110" i="3"/>
  <c r="K111" i="3"/>
  <c r="L111" i="3"/>
  <c r="M111" i="3"/>
  <c r="K123" i="3"/>
  <c r="L123" i="3"/>
  <c r="M123" i="3"/>
  <c r="K124" i="3"/>
  <c r="L124" i="3"/>
  <c r="M124" i="3"/>
  <c r="K125" i="3"/>
  <c r="L125" i="3"/>
  <c r="M125" i="3"/>
  <c r="K141" i="3"/>
  <c r="L141" i="3"/>
  <c r="M141" i="3"/>
  <c r="K142" i="3"/>
  <c r="L142" i="3"/>
  <c r="M142" i="3"/>
  <c r="K154" i="3"/>
  <c r="L154" i="3"/>
  <c r="M154" i="3"/>
  <c r="K155" i="3"/>
  <c r="L155" i="3"/>
  <c r="M155" i="3"/>
  <c r="K168" i="3"/>
  <c r="L168" i="3"/>
  <c r="M168" i="3"/>
  <c r="K169" i="3"/>
  <c r="L169" i="3"/>
  <c r="M169" i="3"/>
  <c r="K185" i="3"/>
  <c r="L185" i="3"/>
  <c r="M185" i="3"/>
  <c r="K186" i="3"/>
  <c r="L186" i="3"/>
  <c r="M186" i="3"/>
  <c r="K187" i="3"/>
  <c r="L187" i="3"/>
  <c r="M187" i="3"/>
  <c r="K203" i="3"/>
  <c r="L203" i="3"/>
  <c r="M203" i="3"/>
  <c r="K204" i="3"/>
  <c r="L204" i="3"/>
  <c r="M204" i="3"/>
  <c r="K238" i="3"/>
  <c r="L238" i="3"/>
  <c r="M238" i="3"/>
  <c r="K239" i="3"/>
  <c r="L239" i="3"/>
  <c r="M239" i="3"/>
  <c r="K293" i="3"/>
  <c r="L293" i="3"/>
  <c r="M293" i="3"/>
  <c r="K112" i="3"/>
  <c r="L112" i="3"/>
  <c r="M112" i="3"/>
  <c r="K126" i="3"/>
  <c r="L126" i="3"/>
  <c r="M126" i="3"/>
  <c r="K127" i="3"/>
  <c r="L127" i="3"/>
  <c r="M127" i="3"/>
  <c r="K143" i="3"/>
  <c r="L143" i="3"/>
  <c r="M143" i="3"/>
  <c r="K144" i="3"/>
  <c r="L144" i="3"/>
  <c r="M144" i="3"/>
  <c r="K145" i="3"/>
  <c r="L145" i="3"/>
  <c r="M145" i="3"/>
  <c r="K156" i="3"/>
  <c r="L156" i="3"/>
  <c r="M156" i="3"/>
  <c r="K157" i="3"/>
  <c r="L157" i="3"/>
  <c r="M157" i="3"/>
  <c r="K170" i="3"/>
  <c r="L170" i="3"/>
  <c r="M170" i="3"/>
  <c r="K171" i="3"/>
  <c r="L171" i="3"/>
  <c r="M171" i="3"/>
  <c r="K172" i="3"/>
  <c r="L172" i="3"/>
  <c r="M172" i="3"/>
  <c r="K188" i="3"/>
  <c r="L188" i="3"/>
  <c r="M188" i="3"/>
  <c r="K189" i="3"/>
  <c r="L189" i="3"/>
  <c r="M189" i="3"/>
  <c r="K205" i="3"/>
  <c r="L205" i="3"/>
  <c r="M205" i="3"/>
  <c r="K206" i="3"/>
  <c r="L206" i="3"/>
  <c r="M206" i="3"/>
  <c r="K219" i="3"/>
  <c r="L219" i="3"/>
  <c r="M219" i="3"/>
  <c r="K220" i="3"/>
  <c r="L220" i="3"/>
  <c r="M220" i="3"/>
  <c r="K240" i="3"/>
  <c r="L240" i="3"/>
  <c r="M240" i="3"/>
  <c r="K241" i="3"/>
  <c r="L241" i="3"/>
  <c r="M241" i="3"/>
  <c r="K242" i="3"/>
  <c r="L242" i="3"/>
  <c r="M242" i="3"/>
  <c r="K255" i="3"/>
  <c r="L255" i="3"/>
  <c r="M255" i="3"/>
  <c r="K256" i="3"/>
  <c r="L256" i="3"/>
  <c r="M256" i="3"/>
  <c r="K270" i="3"/>
  <c r="L270" i="3"/>
  <c r="M270" i="3"/>
  <c r="K271" i="3"/>
  <c r="L271" i="3"/>
  <c r="M271" i="3"/>
  <c r="K294" i="3"/>
  <c r="L294" i="3"/>
  <c r="M294" i="3"/>
  <c r="K295" i="3"/>
  <c r="L295" i="3"/>
  <c r="M295" i="3"/>
  <c r="K296" i="3"/>
  <c r="L296" i="3"/>
  <c r="M296" i="3"/>
  <c r="K297" i="3"/>
  <c r="L297" i="3"/>
  <c r="M297" i="3"/>
  <c r="K316" i="3"/>
  <c r="L316" i="3"/>
  <c r="M316" i="3"/>
  <c r="K317" i="3"/>
  <c r="L317" i="3"/>
  <c r="M317" i="3"/>
  <c r="K354" i="3"/>
  <c r="L354" i="3"/>
  <c r="M354" i="3"/>
  <c r="K355" i="3"/>
  <c r="L355" i="3"/>
  <c r="M355" i="3"/>
  <c r="K356" i="3"/>
  <c r="L356" i="3"/>
  <c r="M356" i="3"/>
  <c r="K406" i="3"/>
  <c r="L406" i="3"/>
  <c r="M406" i="3"/>
  <c r="K407" i="3"/>
  <c r="L407" i="3"/>
  <c r="M407" i="3"/>
  <c r="K466" i="3"/>
  <c r="L466" i="3"/>
  <c r="M466" i="3"/>
  <c r="K190" i="3"/>
  <c r="L190" i="3"/>
  <c r="M190" i="3"/>
  <c r="K207" i="3"/>
  <c r="L207" i="3"/>
  <c r="M207" i="3"/>
  <c r="K208" i="3"/>
  <c r="L208" i="3"/>
  <c r="M208" i="3"/>
  <c r="K221" i="3"/>
  <c r="L221" i="3"/>
  <c r="M221" i="3"/>
  <c r="K222" i="3"/>
  <c r="L222" i="3"/>
  <c r="M222" i="3"/>
  <c r="K223" i="3"/>
  <c r="L223" i="3"/>
  <c r="M223" i="3"/>
  <c r="K243" i="3"/>
  <c r="L243" i="3"/>
  <c r="M243" i="3"/>
  <c r="K244" i="3"/>
  <c r="L244" i="3"/>
  <c r="M244" i="3"/>
  <c r="K257" i="3"/>
  <c r="L257" i="3"/>
  <c r="M257" i="3"/>
  <c r="K258" i="3"/>
  <c r="L258" i="3"/>
  <c r="M258" i="3"/>
  <c r="K259" i="3"/>
  <c r="L259" i="3"/>
  <c r="M259" i="3"/>
  <c r="K272" i="3"/>
  <c r="L272" i="3"/>
  <c r="M272" i="3"/>
  <c r="K273" i="3"/>
  <c r="L273" i="3"/>
  <c r="M273" i="3"/>
  <c r="K298" i="3"/>
  <c r="L298" i="3"/>
  <c r="M298" i="3"/>
  <c r="K299" i="3"/>
  <c r="L299" i="3"/>
  <c r="M299" i="3"/>
  <c r="K318" i="3"/>
  <c r="L318" i="3"/>
  <c r="M318" i="3"/>
  <c r="K319" i="3"/>
  <c r="L319" i="3"/>
  <c r="M319" i="3"/>
  <c r="K333" i="3"/>
  <c r="L333" i="3"/>
  <c r="M333" i="3"/>
  <c r="K334" i="3"/>
  <c r="L334" i="3"/>
  <c r="M334" i="3"/>
  <c r="K335" i="3"/>
  <c r="L335" i="3"/>
  <c r="M335" i="3"/>
  <c r="K357" i="3"/>
  <c r="L357" i="3"/>
  <c r="M357" i="3"/>
  <c r="K358" i="3"/>
  <c r="L358" i="3"/>
  <c r="M358" i="3"/>
  <c r="K370" i="3"/>
  <c r="L370" i="3"/>
  <c r="M370" i="3"/>
  <c r="K371" i="3"/>
  <c r="L371" i="3"/>
  <c r="M371" i="3"/>
  <c r="K386" i="3"/>
  <c r="L386" i="3"/>
  <c r="M386" i="3"/>
  <c r="K387" i="3"/>
  <c r="L387" i="3"/>
  <c r="M387" i="3"/>
  <c r="K388" i="3"/>
  <c r="L388" i="3"/>
  <c r="M388" i="3"/>
  <c r="K389" i="3"/>
  <c r="L389" i="3"/>
  <c r="M389" i="3"/>
  <c r="K408" i="3"/>
  <c r="L408" i="3"/>
  <c r="M408" i="3"/>
  <c r="K409" i="3"/>
  <c r="L409" i="3"/>
  <c r="M409" i="3"/>
  <c r="K444" i="3"/>
  <c r="L444" i="3"/>
  <c r="M444" i="3"/>
  <c r="K445" i="3"/>
  <c r="L445" i="3"/>
  <c r="M445" i="3"/>
  <c r="K446" i="3"/>
  <c r="L446" i="3"/>
  <c r="M446" i="3"/>
  <c r="K467" i="3"/>
  <c r="L467" i="3"/>
  <c r="M467" i="3"/>
  <c r="K468" i="3"/>
  <c r="L468" i="3"/>
  <c r="M468" i="3"/>
  <c r="K491" i="3"/>
  <c r="L491" i="3"/>
  <c r="M491" i="3"/>
  <c r="K492" i="3"/>
  <c r="L492" i="3"/>
  <c r="M492" i="3"/>
  <c r="K516" i="3"/>
  <c r="L516" i="3"/>
  <c r="M516" i="3"/>
  <c r="K517" i="3"/>
  <c r="L517" i="3"/>
  <c r="M517" i="3"/>
  <c r="K518" i="3"/>
  <c r="L518" i="3"/>
  <c r="M518" i="3"/>
  <c r="K519" i="3"/>
  <c r="L519" i="3"/>
  <c r="M519" i="3"/>
  <c r="K546" i="3"/>
  <c r="L546" i="3"/>
  <c r="M546" i="3"/>
  <c r="K547" i="3"/>
  <c r="L547" i="3"/>
  <c r="M547" i="3"/>
  <c r="K570" i="3"/>
  <c r="L570" i="3"/>
  <c r="M570" i="3"/>
  <c r="K619" i="3"/>
  <c r="L619" i="3"/>
  <c r="M619" i="3"/>
  <c r="K620" i="3"/>
  <c r="L620" i="3"/>
  <c r="M620" i="3"/>
  <c r="K682" i="3"/>
  <c r="L682" i="3"/>
  <c r="M682" i="3"/>
  <c r="K683" i="3"/>
  <c r="L683" i="3"/>
  <c r="M683" i="3"/>
  <c r="K787" i="3"/>
  <c r="L787" i="3"/>
  <c r="M787" i="3"/>
  <c r="K274" i="3"/>
  <c r="L274" i="3"/>
  <c r="M274" i="3"/>
  <c r="K300" i="3"/>
  <c r="L300" i="3"/>
  <c r="M300" i="3"/>
  <c r="K301" i="3"/>
  <c r="L301" i="3"/>
  <c r="M301" i="3"/>
  <c r="K320" i="3"/>
  <c r="L320" i="3"/>
  <c r="M320" i="3"/>
  <c r="K321" i="3"/>
  <c r="L321" i="3"/>
  <c r="M321" i="3"/>
  <c r="K322" i="3"/>
  <c r="L322" i="3"/>
  <c r="M322" i="3"/>
  <c r="K336" i="3"/>
  <c r="L336" i="3"/>
  <c r="M336" i="3"/>
  <c r="K337" i="3"/>
  <c r="L337" i="3"/>
  <c r="M337" i="3"/>
  <c r="K359" i="3"/>
  <c r="L359" i="3"/>
  <c r="M359" i="3"/>
  <c r="K360" i="3"/>
  <c r="L360" i="3"/>
  <c r="M360" i="3"/>
  <c r="K361" i="3"/>
  <c r="L361" i="3"/>
  <c r="M361" i="3"/>
  <c r="K372" i="3"/>
  <c r="L372" i="3"/>
  <c r="M372" i="3"/>
  <c r="K373" i="3"/>
  <c r="L373" i="3"/>
  <c r="M373" i="3"/>
  <c r="K390" i="3"/>
  <c r="L390" i="3"/>
  <c r="M390" i="3"/>
  <c r="K391" i="3"/>
  <c r="L391" i="3"/>
  <c r="M391" i="3"/>
  <c r="K410" i="3"/>
  <c r="L410" i="3"/>
  <c r="M410" i="3"/>
  <c r="K411" i="3"/>
  <c r="L411" i="3"/>
  <c r="M411" i="3"/>
  <c r="K423" i="3"/>
  <c r="L423" i="3"/>
  <c r="M423" i="3"/>
  <c r="K424" i="3"/>
  <c r="L424" i="3"/>
  <c r="M424" i="3"/>
  <c r="K425" i="3"/>
  <c r="L425" i="3"/>
  <c r="M425" i="3"/>
  <c r="K447" i="3"/>
  <c r="L447" i="3"/>
  <c r="M447" i="3"/>
  <c r="K448" i="3"/>
  <c r="L448" i="3"/>
  <c r="M448" i="3"/>
  <c r="K469" i="3"/>
  <c r="L469" i="3"/>
  <c r="M469" i="3"/>
  <c r="K470" i="3"/>
  <c r="L470" i="3"/>
  <c r="M470" i="3"/>
  <c r="K493" i="3"/>
  <c r="L493" i="3"/>
  <c r="M493" i="3"/>
  <c r="K494" i="3"/>
  <c r="L494" i="3"/>
  <c r="M494" i="3"/>
  <c r="K495" i="3"/>
  <c r="L495" i="3"/>
  <c r="M495" i="3"/>
  <c r="K496" i="3"/>
  <c r="L496" i="3"/>
  <c r="M496" i="3"/>
  <c r="K520" i="3"/>
  <c r="L520" i="3"/>
  <c r="M520" i="3"/>
  <c r="K20" i="3"/>
  <c r="L20" i="3"/>
  <c r="M20" i="3"/>
  <c r="K13" i="3"/>
  <c r="L13" i="3"/>
  <c r="M13" i="3"/>
  <c r="K21" i="3"/>
  <c r="L21" i="3"/>
  <c r="M21" i="3"/>
  <c r="K22" i="3"/>
  <c r="L22" i="3"/>
  <c r="M22" i="3"/>
  <c r="K31" i="3"/>
  <c r="L31" i="3"/>
  <c r="M31" i="3"/>
  <c r="K32" i="3"/>
  <c r="L32" i="3"/>
  <c r="M32" i="3"/>
  <c r="K33" i="3"/>
  <c r="L33" i="3"/>
  <c r="M33" i="3"/>
  <c r="K43" i="3"/>
  <c r="L43" i="3"/>
  <c r="M43" i="3"/>
  <c r="K44" i="3"/>
  <c r="L44" i="3"/>
  <c r="M44" i="3"/>
  <c r="K55" i="3"/>
  <c r="L55" i="3"/>
  <c r="M55" i="3"/>
  <c r="K34" i="3"/>
  <c r="L34" i="3"/>
  <c r="M34" i="3"/>
  <c r="K45" i="3"/>
  <c r="L45" i="3"/>
  <c r="M45" i="3"/>
  <c r="K46" i="3"/>
  <c r="L46" i="3"/>
  <c r="M46" i="3"/>
  <c r="K56" i="3"/>
  <c r="L56" i="3"/>
  <c r="M56" i="3"/>
  <c r="K57" i="3"/>
  <c r="L57" i="3"/>
  <c r="M57" i="3"/>
  <c r="K58" i="3"/>
  <c r="L58" i="3"/>
  <c r="M58" i="3"/>
  <c r="K65" i="3"/>
  <c r="L65" i="3"/>
  <c r="M65" i="3"/>
  <c r="K66" i="3"/>
  <c r="L66" i="3"/>
  <c r="M66" i="3"/>
  <c r="K78" i="3"/>
  <c r="L78" i="3"/>
  <c r="M78" i="3"/>
  <c r="K79" i="3"/>
  <c r="L79" i="3"/>
  <c r="M79" i="3"/>
  <c r="K80" i="3"/>
  <c r="L80" i="3"/>
  <c r="M80" i="3"/>
  <c r="K93" i="3"/>
  <c r="L93" i="3"/>
  <c r="M93" i="3"/>
  <c r="K7" i="3"/>
  <c r="L7" i="3"/>
  <c r="M7" i="3"/>
  <c r="M12" i="3"/>
  <c r="K12" i="3"/>
  <c r="L12" i="3"/>
  <c r="I1153" i="3"/>
  <c r="H1153" i="3"/>
  <c r="G1153" i="3"/>
  <c r="I1150" i="3"/>
  <c r="H1150" i="3"/>
  <c r="G1150" i="3"/>
  <c r="I1149" i="3"/>
  <c r="H1149" i="3"/>
  <c r="G1149" i="3"/>
  <c r="I1144" i="3"/>
  <c r="H1144" i="3"/>
  <c r="G1144" i="3"/>
  <c r="I1143" i="3"/>
  <c r="H1143" i="3"/>
  <c r="G1143" i="3"/>
  <c r="I1142" i="3"/>
  <c r="H1142" i="3"/>
  <c r="G1142" i="3"/>
  <c r="I1135" i="3"/>
  <c r="H1135" i="3"/>
  <c r="G1135" i="3"/>
  <c r="I1134" i="3"/>
  <c r="H1134" i="3"/>
  <c r="G1134" i="3"/>
  <c r="I1129" i="3"/>
  <c r="H1129" i="3"/>
  <c r="G1129" i="3"/>
  <c r="I1128" i="3"/>
  <c r="H1128" i="3"/>
  <c r="G1128" i="3"/>
  <c r="I1120" i="3"/>
  <c r="H1120" i="3"/>
  <c r="G1120" i="3"/>
  <c r="I1119" i="3"/>
  <c r="H1119" i="3"/>
  <c r="G1119" i="3"/>
  <c r="I1114" i="3"/>
  <c r="H1114" i="3"/>
  <c r="G1114" i="3"/>
  <c r="I1113" i="3"/>
  <c r="H1113" i="3"/>
  <c r="G1113" i="3"/>
  <c r="I1108" i="3"/>
  <c r="H1108" i="3"/>
  <c r="G1108" i="3"/>
  <c r="I1107" i="3"/>
  <c r="H1107" i="3"/>
  <c r="G1107" i="3"/>
  <c r="I1102" i="3"/>
  <c r="H1102" i="3"/>
  <c r="G1102" i="3"/>
  <c r="I1093" i="3"/>
  <c r="H1093" i="3"/>
  <c r="G1093" i="3"/>
  <c r="I1092" i="3"/>
  <c r="H1092" i="3"/>
  <c r="G1092" i="3"/>
  <c r="I1087" i="3"/>
  <c r="H1087" i="3"/>
  <c r="G1087" i="3"/>
  <c r="I1086" i="3"/>
  <c r="H1086" i="3"/>
  <c r="G1086" i="3"/>
  <c r="I1081" i="3"/>
  <c r="H1081" i="3"/>
  <c r="G1081" i="3"/>
  <c r="I1080" i="3"/>
  <c r="H1080" i="3"/>
  <c r="G1080" i="3"/>
  <c r="I1075" i="3"/>
  <c r="H1075" i="3"/>
  <c r="G1075" i="3"/>
  <c r="I1074" i="3"/>
  <c r="H1074" i="3"/>
  <c r="G1074" i="3"/>
  <c r="I1073" i="3"/>
  <c r="H1073" i="3"/>
  <c r="G1073" i="3"/>
  <c r="I1072" i="3"/>
  <c r="H1072" i="3"/>
  <c r="G1072" i="3"/>
  <c r="I1057" i="3"/>
  <c r="H1057" i="3"/>
  <c r="G1057" i="3"/>
  <c r="I1056" i="3"/>
  <c r="H1056" i="3"/>
  <c r="G1056" i="3"/>
  <c r="I1055" i="3"/>
  <c r="H1055" i="3"/>
  <c r="G1055" i="3"/>
  <c r="I1054" i="3"/>
  <c r="H1054" i="3"/>
  <c r="G1054" i="3"/>
  <c r="I1042" i="3"/>
  <c r="H1042" i="3"/>
  <c r="G1042" i="3"/>
  <c r="I1041" i="3"/>
  <c r="H1041" i="3"/>
  <c r="G1041" i="3"/>
  <c r="I1036" i="3"/>
  <c r="H1036" i="3"/>
  <c r="G1036" i="3"/>
  <c r="I1035" i="3"/>
  <c r="H1035" i="3"/>
  <c r="G1035" i="3"/>
  <c r="I1034" i="3"/>
  <c r="H1034" i="3"/>
  <c r="G1034" i="3"/>
  <c r="I1021" i="3"/>
  <c r="H1021" i="3"/>
  <c r="G1021" i="3"/>
  <c r="I1020" i="3"/>
  <c r="H1020" i="3"/>
  <c r="G1020" i="3"/>
  <c r="I1015" i="3"/>
  <c r="H1015" i="3"/>
  <c r="G1015" i="3"/>
  <c r="I1014" i="3"/>
  <c r="H1014" i="3"/>
  <c r="G1014" i="3"/>
  <c r="I1003" i="3"/>
  <c r="H1003" i="3"/>
  <c r="G1003" i="3"/>
  <c r="I1002" i="3"/>
  <c r="H1002" i="3"/>
  <c r="G1002" i="3"/>
  <c r="I1001" i="3"/>
  <c r="H1001" i="3"/>
  <c r="G1001" i="3"/>
  <c r="I1000" i="3"/>
  <c r="H1000" i="3"/>
  <c r="G1000" i="3"/>
  <c r="I982" i="3"/>
  <c r="H982" i="3"/>
  <c r="G982" i="3"/>
  <c r="I981" i="3"/>
  <c r="H981" i="3"/>
  <c r="G981" i="3"/>
  <c r="I976" i="3"/>
  <c r="H976" i="3"/>
  <c r="G976" i="3"/>
  <c r="I975" i="3"/>
  <c r="H975" i="3"/>
  <c r="G975" i="3"/>
  <c r="I955" i="3"/>
  <c r="H955" i="3"/>
  <c r="G955" i="3"/>
  <c r="I954" i="3"/>
  <c r="H954" i="3"/>
  <c r="G954" i="3"/>
  <c r="I953" i="3"/>
  <c r="H953" i="3"/>
  <c r="G953" i="3"/>
  <c r="I952" i="3"/>
  <c r="H952" i="3"/>
  <c r="G952" i="3"/>
  <c r="I937" i="3"/>
  <c r="H937" i="3"/>
  <c r="G937" i="3"/>
  <c r="I936" i="3"/>
  <c r="H936" i="3"/>
  <c r="G936" i="3"/>
  <c r="I919" i="3"/>
  <c r="H919" i="3"/>
  <c r="G919" i="3"/>
  <c r="I918" i="3"/>
  <c r="H918" i="3"/>
  <c r="G918" i="3"/>
  <c r="I917" i="3"/>
  <c r="H917" i="3"/>
  <c r="G917" i="3"/>
  <c r="I898" i="3"/>
  <c r="H898" i="3"/>
  <c r="G898" i="3"/>
  <c r="I897" i="3"/>
  <c r="H897" i="3"/>
  <c r="G897" i="3"/>
  <c r="I886" i="3"/>
  <c r="H886" i="3"/>
  <c r="G886" i="3"/>
  <c r="I885" i="3"/>
  <c r="H885" i="3"/>
  <c r="G885" i="3"/>
  <c r="I884" i="3"/>
  <c r="H884" i="3"/>
  <c r="G884" i="3"/>
  <c r="I883" i="3"/>
  <c r="H883" i="3"/>
  <c r="G883" i="3"/>
  <c r="I868" i="3"/>
  <c r="H868" i="3"/>
  <c r="G868" i="3"/>
  <c r="I867" i="3"/>
  <c r="H867" i="3"/>
  <c r="G867" i="3"/>
  <c r="I853" i="3"/>
  <c r="H853" i="3"/>
  <c r="G853" i="3"/>
  <c r="I852" i="3"/>
  <c r="H852" i="3"/>
  <c r="G852" i="3"/>
  <c r="I835" i="3"/>
  <c r="H835" i="3"/>
  <c r="G835" i="3"/>
  <c r="I834" i="3"/>
  <c r="H834" i="3"/>
  <c r="G834" i="3"/>
  <c r="I833" i="3"/>
  <c r="H833" i="3"/>
  <c r="G833" i="3"/>
  <c r="I805" i="3"/>
  <c r="H805" i="3"/>
  <c r="G805" i="3"/>
  <c r="I804" i="3"/>
  <c r="H804" i="3"/>
  <c r="G804" i="3"/>
  <c r="I793" i="3"/>
  <c r="H793" i="3"/>
  <c r="G793" i="3"/>
  <c r="I792" i="3"/>
  <c r="H792" i="3"/>
  <c r="G792" i="3"/>
  <c r="I791" i="3"/>
  <c r="H791" i="3"/>
  <c r="G791" i="3"/>
  <c r="I790" i="3"/>
  <c r="H790" i="3"/>
  <c r="G790" i="3"/>
  <c r="I772" i="3"/>
  <c r="H772" i="3"/>
  <c r="G772" i="3"/>
  <c r="I771" i="3"/>
  <c r="H771" i="3"/>
  <c r="G771" i="3"/>
  <c r="I748" i="3"/>
  <c r="H748" i="3"/>
  <c r="G748" i="3"/>
  <c r="I747" i="3"/>
  <c r="H747" i="3"/>
  <c r="G747" i="3"/>
  <c r="I736" i="3"/>
  <c r="H736" i="3"/>
  <c r="G736" i="3"/>
  <c r="I735" i="3"/>
  <c r="H735" i="3"/>
  <c r="G735" i="3"/>
  <c r="I734" i="3"/>
  <c r="H734" i="3"/>
  <c r="G734" i="3"/>
  <c r="I709" i="3"/>
  <c r="H709" i="3"/>
  <c r="G709" i="3"/>
  <c r="I708" i="3"/>
  <c r="H708" i="3"/>
  <c r="G708" i="3"/>
  <c r="I688" i="3"/>
  <c r="H688" i="3"/>
  <c r="G688" i="3"/>
  <c r="I687" i="3"/>
  <c r="H687" i="3"/>
  <c r="G687" i="3"/>
  <c r="I667" i="3"/>
  <c r="H667" i="3"/>
  <c r="G667" i="3"/>
  <c r="I666" i="3"/>
  <c r="H666" i="3"/>
  <c r="G666" i="3"/>
  <c r="I649" i="3"/>
  <c r="H649" i="3"/>
  <c r="G649" i="3"/>
  <c r="I648" i="3"/>
  <c r="H648" i="3"/>
  <c r="G648" i="3"/>
  <c r="I647" i="3"/>
  <c r="H647" i="3"/>
  <c r="G647" i="3"/>
  <c r="I628" i="3"/>
  <c r="H628" i="3"/>
  <c r="G628" i="3"/>
  <c r="I627" i="3"/>
  <c r="H627" i="3"/>
  <c r="G627" i="3"/>
  <c r="I598" i="3"/>
  <c r="H598" i="3"/>
  <c r="G598" i="3"/>
  <c r="I597" i="3"/>
  <c r="H597" i="3"/>
  <c r="G597" i="3"/>
  <c r="I596" i="3"/>
  <c r="H596" i="3"/>
  <c r="G596" i="3"/>
  <c r="I577" i="3"/>
  <c r="H577" i="3"/>
  <c r="G577" i="3"/>
  <c r="I576" i="3"/>
  <c r="H576" i="3"/>
  <c r="G576" i="3"/>
  <c r="I553" i="3"/>
  <c r="H553" i="3"/>
  <c r="G553" i="3"/>
  <c r="I1127" i="3"/>
  <c r="H1127" i="3"/>
  <c r="G1127" i="3"/>
  <c r="I1101" i="3"/>
  <c r="H1101" i="3"/>
  <c r="G1101" i="3"/>
  <c r="I1100" i="3"/>
  <c r="H1100" i="3"/>
  <c r="G1100" i="3"/>
  <c r="I1071" i="3"/>
  <c r="H1071" i="3"/>
  <c r="G1071" i="3"/>
  <c r="I1070" i="3"/>
  <c r="H1070" i="3"/>
  <c r="G1070" i="3"/>
  <c r="I1045" i="3"/>
  <c r="H1045" i="3"/>
  <c r="G1045" i="3"/>
  <c r="I1033" i="3"/>
  <c r="H1033" i="3"/>
  <c r="G1033" i="3"/>
  <c r="I1032" i="3"/>
  <c r="H1032" i="3"/>
  <c r="G1032" i="3"/>
  <c r="I1013" i="3"/>
  <c r="H1013" i="3"/>
  <c r="G1013" i="3"/>
  <c r="I1012" i="3"/>
  <c r="H1012" i="3"/>
  <c r="G1012" i="3"/>
  <c r="I999" i="3"/>
  <c r="H999" i="3"/>
  <c r="G999" i="3"/>
  <c r="I998" i="3"/>
  <c r="H998" i="3"/>
  <c r="G998" i="3"/>
  <c r="I974" i="3"/>
  <c r="H974" i="3"/>
  <c r="G974" i="3"/>
  <c r="I973" i="3"/>
  <c r="H973" i="3"/>
  <c r="G973" i="3"/>
  <c r="I964" i="3"/>
  <c r="H964" i="3"/>
  <c r="G964" i="3"/>
  <c r="I963" i="3"/>
  <c r="H963" i="3"/>
  <c r="G963" i="3"/>
  <c r="I962" i="3"/>
  <c r="H962" i="3"/>
  <c r="G962" i="3"/>
  <c r="I951" i="3"/>
  <c r="H951" i="3"/>
  <c r="G951" i="3"/>
  <c r="I950" i="3"/>
  <c r="H950" i="3"/>
  <c r="G950" i="3"/>
  <c r="I935" i="3"/>
  <c r="H935" i="3"/>
  <c r="G935" i="3"/>
  <c r="I934" i="3"/>
  <c r="H934" i="3"/>
  <c r="G934" i="3"/>
  <c r="I916" i="3"/>
  <c r="H916" i="3"/>
  <c r="G916" i="3"/>
  <c r="I915" i="3"/>
  <c r="H915" i="3"/>
  <c r="G915" i="3"/>
  <c r="I914" i="3"/>
  <c r="H914" i="3"/>
  <c r="G914" i="3"/>
  <c r="I913" i="3"/>
  <c r="H913" i="3"/>
  <c r="G913" i="3"/>
  <c r="I892" i="3"/>
  <c r="H892" i="3"/>
  <c r="G892" i="3"/>
  <c r="I891" i="3"/>
  <c r="H891" i="3"/>
  <c r="G891" i="3"/>
  <c r="I882" i="3"/>
  <c r="H882" i="3"/>
  <c r="G882" i="3"/>
  <c r="I881" i="3"/>
  <c r="H881" i="3"/>
  <c r="G881" i="3"/>
  <c r="I851" i="3"/>
  <c r="H851" i="3"/>
  <c r="G851" i="3"/>
  <c r="I850" i="3"/>
  <c r="H850" i="3"/>
  <c r="G850" i="3"/>
  <c r="I849" i="3"/>
  <c r="H849" i="3"/>
  <c r="G849" i="3"/>
  <c r="I848" i="3"/>
  <c r="H848" i="3"/>
  <c r="G848" i="3"/>
  <c r="I832" i="3"/>
  <c r="H832" i="3"/>
  <c r="G832" i="3"/>
  <c r="I831" i="3"/>
  <c r="H831" i="3"/>
  <c r="G831" i="3"/>
  <c r="I820" i="3"/>
  <c r="H820" i="3"/>
  <c r="G820" i="3"/>
  <c r="I819" i="3"/>
  <c r="H819" i="3"/>
  <c r="G819" i="3"/>
  <c r="I818" i="3"/>
  <c r="H818" i="3"/>
  <c r="G818" i="3"/>
  <c r="I803" i="3"/>
  <c r="H803" i="3"/>
  <c r="G803" i="3"/>
  <c r="I802" i="3"/>
  <c r="H802" i="3"/>
  <c r="G802" i="3"/>
  <c r="I770" i="3"/>
  <c r="H770" i="3"/>
  <c r="G770" i="3"/>
  <c r="I769" i="3"/>
  <c r="H769" i="3"/>
  <c r="G769" i="3"/>
  <c r="I768" i="3"/>
  <c r="H768" i="3"/>
  <c r="G768" i="3"/>
  <c r="I767" i="3"/>
  <c r="H767" i="3"/>
  <c r="G767" i="3"/>
  <c r="I746" i="3"/>
  <c r="H746" i="3"/>
  <c r="G746" i="3"/>
  <c r="I745" i="3"/>
  <c r="H745" i="3"/>
  <c r="G745" i="3"/>
  <c r="I733" i="3"/>
  <c r="H733" i="3"/>
  <c r="G733" i="3"/>
  <c r="I732" i="3"/>
  <c r="H732" i="3"/>
  <c r="G732" i="3"/>
  <c r="I707" i="3"/>
  <c r="H707" i="3"/>
  <c r="G707" i="3"/>
  <c r="I706" i="3"/>
  <c r="H706" i="3"/>
  <c r="G706" i="3"/>
  <c r="I705" i="3"/>
  <c r="H705" i="3"/>
  <c r="G705" i="3"/>
  <c r="I665" i="3"/>
  <c r="H665" i="3"/>
  <c r="G665" i="3"/>
  <c r="I664" i="3"/>
  <c r="H664" i="3"/>
  <c r="G664" i="3"/>
  <c r="I646" i="3"/>
  <c r="H646" i="3"/>
  <c r="G646" i="3"/>
  <c r="I645" i="3"/>
  <c r="H645" i="3"/>
  <c r="G645" i="3"/>
  <c r="I644" i="3"/>
  <c r="H644" i="3"/>
  <c r="G644" i="3"/>
  <c r="I643" i="3"/>
  <c r="H643" i="3"/>
  <c r="G643" i="3"/>
  <c r="I626" i="3"/>
  <c r="H626" i="3"/>
  <c r="G626" i="3"/>
  <c r="I625" i="3"/>
  <c r="H625" i="3"/>
  <c r="G625" i="3"/>
  <c r="I595" i="3"/>
  <c r="H595" i="3"/>
  <c r="G595" i="3"/>
  <c r="I594" i="3"/>
  <c r="H594" i="3"/>
  <c r="G594" i="3"/>
  <c r="I575" i="3"/>
  <c r="H575" i="3"/>
  <c r="G575" i="3"/>
  <c r="I574" i="3"/>
  <c r="H574" i="3"/>
  <c r="G574" i="3"/>
  <c r="I573" i="3"/>
  <c r="H573" i="3"/>
  <c r="G573" i="3"/>
  <c r="I552" i="3"/>
  <c r="H552" i="3"/>
  <c r="G552" i="3"/>
  <c r="I551" i="3"/>
  <c r="H551" i="3"/>
  <c r="G551" i="3"/>
  <c r="I529" i="3"/>
  <c r="H529" i="3"/>
  <c r="G529" i="3"/>
  <c r="I528" i="3"/>
  <c r="H528" i="3"/>
  <c r="G528" i="3"/>
  <c r="I523" i="3"/>
  <c r="H523" i="3"/>
  <c r="G523" i="3"/>
  <c r="I522" i="3"/>
  <c r="H522" i="3"/>
  <c r="G522" i="3"/>
  <c r="I499" i="3"/>
  <c r="H499" i="3"/>
  <c r="G499" i="3"/>
  <c r="I498" i="3"/>
  <c r="H498" i="3"/>
  <c r="G498" i="3"/>
  <c r="I497" i="3"/>
  <c r="H497" i="3"/>
  <c r="G497" i="3"/>
  <c r="I472" i="3"/>
  <c r="H472" i="3"/>
  <c r="G472" i="3"/>
  <c r="I471" i="3"/>
  <c r="H471" i="3"/>
  <c r="G471" i="3"/>
  <c r="I451" i="3"/>
  <c r="H451" i="3"/>
  <c r="G451" i="3"/>
  <c r="I450" i="3"/>
  <c r="H450" i="3"/>
  <c r="G450" i="3"/>
  <c r="I449" i="3"/>
  <c r="H449" i="3"/>
  <c r="G449" i="3"/>
  <c r="I427" i="3"/>
  <c r="H427" i="3"/>
  <c r="G427" i="3"/>
  <c r="I426" i="3"/>
  <c r="H426" i="3"/>
  <c r="G426" i="3"/>
  <c r="I412" i="3"/>
  <c r="H412" i="3"/>
  <c r="G412" i="3"/>
  <c r="I985" i="3"/>
  <c r="H985" i="3"/>
  <c r="G985" i="3"/>
  <c r="I933" i="3"/>
  <c r="H933" i="3"/>
  <c r="G933" i="3"/>
  <c r="I932" i="3"/>
  <c r="H932" i="3"/>
  <c r="G932" i="3"/>
  <c r="I866" i="3"/>
  <c r="H866" i="3"/>
  <c r="G866" i="3"/>
  <c r="I865" i="3"/>
  <c r="H865" i="3"/>
  <c r="G865" i="3"/>
  <c r="I864" i="3"/>
  <c r="H864" i="3"/>
  <c r="G864" i="3"/>
  <c r="I817" i="3"/>
  <c r="H817" i="3"/>
  <c r="G817" i="3"/>
  <c r="I816" i="3"/>
  <c r="H816" i="3"/>
  <c r="G816" i="3"/>
  <c r="I789" i="3"/>
  <c r="H789" i="3"/>
  <c r="G789" i="3"/>
  <c r="I788" i="3"/>
  <c r="H788" i="3"/>
  <c r="G788" i="3"/>
  <c r="I766" i="3"/>
  <c r="H766" i="3"/>
  <c r="G766" i="3"/>
  <c r="I765" i="3"/>
  <c r="H765" i="3"/>
  <c r="G765" i="3"/>
  <c r="I731" i="3"/>
  <c r="H731" i="3"/>
  <c r="G731" i="3"/>
  <c r="I730" i="3"/>
  <c r="H730" i="3"/>
  <c r="G730" i="3"/>
  <c r="I729" i="3"/>
  <c r="H729" i="3"/>
  <c r="G729" i="3"/>
  <c r="I728" i="3"/>
  <c r="H728" i="3"/>
  <c r="G728" i="3"/>
  <c r="I704" i="3"/>
  <c r="H704" i="3"/>
  <c r="G704" i="3"/>
  <c r="I703" i="3"/>
  <c r="H703" i="3"/>
  <c r="G703" i="3"/>
  <c r="I686" i="3"/>
  <c r="H686" i="3"/>
  <c r="G686" i="3"/>
  <c r="I685" i="3"/>
  <c r="H685" i="3"/>
  <c r="G685" i="3"/>
  <c r="I684" i="3"/>
  <c r="H684" i="3"/>
  <c r="G684" i="3"/>
  <c r="I663" i="3"/>
  <c r="H663" i="3"/>
  <c r="G663" i="3"/>
  <c r="I662" i="3"/>
  <c r="H662" i="3"/>
  <c r="G662" i="3"/>
  <c r="I624" i="3"/>
  <c r="H624" i="3"/>
  <c r="G624" i="3"/>
  <c r="I623" i="3"/>
  <c r="H623" i="3"/>
  <c r="G623" i="3"/>
  <c r="I622" i="3"/>
  <c r="H622" i="3"/>
  <c r="G622" i="3"/>
  <c r="I621" i="3"/>
  <c r="H621" i="3"/>
  <c r="G621" i="3"/>
  <c r="I593" i="3"/>
  <c r="H593" i="3"/>
  <c r="G593" i="3"/>
  <c r="I592" i="3"/>
  <c r="H592" i="3"/>
  <c r="G592" i="3"/>
  <c r="I572" i="3"/>
  <c r="H572" i="3"/>
  <c r="G572" i="3"/>
  <c r="I571" i="3"/>
  <c r="H571" i="3"/>
  <c r="G571" i="3"/>
  <c r="I550" i="3"/>
  <c r="H550" i="3"/>
  <c r="G550" i="3"/>
  <c r="I549" i="3"/>
  <c r="H549" i="3"/>
  <c r="G549" i="3"/>
  <c r="I548" i="3"/>
  <c r="H548" i="3"/>
  <c r="G548" i="3"/>
  <c r="I521" i="3"/>
  <c r="H521" i="3"/>
  <c r="G521" i="3"/>
  <c r="I520" i="3"/>
  <c r="H520" i="3"/>
  <c r="G520" i="3"/>
  <c r="I496" i="3"/>
  <c r="H496" i="3"/>
  <c r="G496" i="3"/>
  <c r="I495" i="3"/>
  <c r="H495" i="3"/>
  <c r="G495" i="3"/>
  <c r="I494" i="3"/>
  <c r="H494" i="3"/>
  <c r="G494" i="3"/>
  <c r="I493" i="3"/>
  <c r="H493" i="3"/>
  <c r="G493" i="3"/>
  <c r="I470" i="3"/>
  <c r="H470" i="3"/>
  <c r="G470" i="3"/>
  <c r="I469" i="3"/>
  <c r="H469" i="3"/>
  <c r="G469" i="3"/>
  <c r="I448" i="3"/>
  <c r="H448" i="3"/>
  <c r="G448" i="3"/>
  <c r="I447" i="3"/>
  <c r="H447" i="3"/>
  <c r="G447" i="3"/>
  <c r="I425" i="3"/>
  <c r="H425" i="3"/>
  <c r="G425" i="3"/>
  <c r="I424" i="3"/>
  <c r="H424" i="3"/>
  <c r="G424" i="3"/>
  <c r="I423" i="3"/>
  <c r="H423" i="3"/>
  <c r="G423" i="3"/>
  <c r="I411" i="3"/>
  <c r="H411" i="3"/>
  <c r="G411" i="3"/>
  <c r="I410" i="3"/>
  <c r="H410" i="3"/>
  <c r="G410" i="3"/>
  <c r="I391" i="3"/>
  <c r="H391" i="3"/>
  <c r="G391" i="3"/>
  <c r="I390" i="3"/>
  <c r="H390" i="3"/>
  <c r="G390" i="3"/>
  <c r="I373" i="3"/>
  <c r="H373" i="3"/>
  <c r="G373" i="3"/>
  <c r="I372" i="3"/>
  <c r="H372" i="3"/>
  <c r="G372" i="3"/>
  <c r="I361" i="3"/>
  <c r="H361" i="3"/>
  <c r="G361" i="3"/>
  <c r="I360" i="3"/>
  <c r="H360" i="3"/>
  <c r="G360" i="3"/>
  <c r="I359" i="3"/>
  <c r="H359" i="3"/>
  <c r="G359" i="3"/>
  <c r="I337" i="3"/>
  <c r="H337" i="3"/>
  <c r="G337" i="3"/>
  <c r="I336" i="3"/>
  <c r="H336" i="3"/>
  <c r="G336" i="3"/>
  <c r="I322" i="3"/>
  <c r="H322" i="3"/>
  <c r="G322" i="3"/>
  <c r="I321" i="3"/>
  <c r="H321" i="3"/>
  <c r="G321" i="3"/>
  <c r="I320" i="3"/>
  <c r="H320" i="3"/>
  <c r="G320" i="3"/>
  <c r="I301" i="3"/>
  <c r="H301" i="3"/>
  <c r="G301" i="3"/>
  <c r="I300" i="3"/>
  <c r="H300" i="3"/>
  <c r="G300" i="3"/>
  <c r="I274" i="3"/>
  <c r="H274" i="3"/>
  <c r="G274" i="3"/>
  <c r="I787" i="3"/>
  <c r="H787" i="3"/>
  <c r="G787" i="3"/>
  <c r="I683" i="3"/>
  <c r="H683" i="3"/>
  <c r="G683" i="3"/>
  <c r="I682" i="3"/>
  <c r="H682" i="3"/>
  <c r="G682" i="3"/>
  <c r="I620" i="3"/>
  <c r="H620" i="3"/>
  <c r="G620" i="3"/>
  <c r="I619" i="3"/>
  <c r="H619" i="3"/>
  <c r="G619" i="3"/>
  <c r="I570" i="3"/>
  <c r="H570" i="3"/>
  <c r="G570" i="3"/>
  <c r="I547" i="3"/>
  <c r="H547" i="3"/>
  <c r="G547" i="3"/>
  <c r="I546" i="3"/>
  <c r="H546" i="3"/>
  <c r="G546" i="3"/>
  <c r="I519" i="3"/>
  <c r="H519" i="3"/>
  <c r="G519" i="3"/>
  <c r="I518" i="3"/>
  <c r="H518" i="3"/>
  <c r="G518" i="3"/>
  <c r="I517" i="3"/>
  <c r="H517" i="3"/>
  <c r="G517" i="3"/>
  <c r="I516" i="3"/>
  <c r="H516" i="3"/>
  <c r="G516" i="3"/>
  <c r="I492" i="3"/>
  <c r="H492" i="3"/>
  <c r="G492" i="3"/>
  <c r="I491" i="3"/>
  <c r="H491" i="3"/>
  <c r="G491" i="3"/>
  <c r="I468" i="3"/>
  <c r="H468" i="3"/>
  <c r="G468" i="3"/>
  <c r="I467" i="3"/>
  <c r="H467" i="3"/>
  <c r="G467" i="3"/>
  <c r="I446" i="3"/>
  <c r="H446" i="3"/>
  <c r="G446" i="3"/>
  <c r="I445" i="3"/>
  <c r="H445" i="3"/>
  <c r="G445" i="3"/>
  <c r="I444" i="3"/>
  <c r="H444" i="3"/>
  <c r="G444" i="3"/>
  <c r="I409" i="3"/>
  <c r="H409" i="3"/>
  <c r="G409" i="3"/>
  <c r="I408" i="3"/>
  <c r="H408" i="3"/>
  <c r="G408" i="3"/>
  <c r="I389" i="3"/>
  <c r="H389" i="3"/>
  <c r="G389" i="3"/>
  <c r="I388" i="3"/>
  <c r="H388" i="3"/>
  <c r="G388" i="3"/>
  <c r="I387" i="3"/>
  <c r="H387" i="3"/>
  <c r="G387" i="3"/>
  <c r="I386" i="3"/>
  <c r="H386" i="3"/>
  <c r="G386" i="3"/>
  <c r="I371" i="3"/>
  <c r="H371" i="3"/>
  <c r="G371" i="3"/>
  <c r="I370" i="3"/>
  <c r="H370" i="3"/>
  <c r="G370" i="3"/>
  <c r="I358" i="3"/>
  <c r="H358" i="3"/>
  <c r="G358" i="3"/>
  <c r="I357" i="3"/>
  <c r="H357" i="3"/>
  <c r="G357" i="3"/>
  <c r="I335" i="3"/>
  <c r="H335" i="3"/>
  <c r="G335" i="3"/>
  <c r="I334" i="3"/>
  <c r="H334" i="3"/>
  <c r="G334" i="3"/>
  <c r="I333" i="3"/>
  <c r="H333" i="3"/>
  <c r="G333" i="3"/>
  <c r="I319" i="3"/>
  <c r="H319" i="3"/>
  <c r="G319" i="3"/>
  <c r="I318" i="3"/>
  <c r="H318" i="3"/>
  <c r="G318" i="3"/>
  <c r="I299" i="3"/>
  <c r="H299" i="3"/>
  <c r="G299" i="3"/>
  <c r="I298" i="3"/>
  <c r="H298" i="3"/>
  <c r="G298" i="3"/>
  <c r="I273" i="3"/>
  <c r="H273" i="3"/>
  <c r="G273" i="3"/>
  <c r="I272" i="3"/>
  <c r="H272" i="3"/>
  <c r="G272" i="3"/>
  <c r="I259" i="3"/>
  <c r="H259" i="3"/>
  <c r="G259" i="3"/>
  <c r="I258" i="3"/>
  <c r="H258" i="3"/>
  <c r="G258" i="3"/>
  <c r="I257" i="3"/>
  <c r="H257" i="3"/>
  <c r="G257" i="3"/>
  <c r="I244" i="3"/>
  <c r="H244" i="3"/>
  <c r="G244" i="3"/>
  <c r="I243" i="3"/>
  <c r="H243" i="3"/>
  <c r="G243" i="3"/>
  <c r="I223" i="3"/>
  <c r="H223" i="3"/>
  <c r="G223" i="3"/>
  <c r="I222" i="3"/>
  <c r="H222" i="3"/>
  <c r="G222" i="3"/>
  <c r="I221" i="3"/>
  <c r="H221" i="3"/>
  <c r="G221" i="3"/>
  <c r="I208" i="3"/>
  <c r="H208" i="3"/>
  <c r="G208" i="3"/>
  <c r="I207" i="3"/>
  <c r="H207" i="3"/>
  <c r="G207" i="3"/>
  <c r="I190" i="3"/>
  <c r="H190" i="3"/>
  <c r="G190" i="3"/>
  <c r="I466" i="3"/>
  <c r="H466" i="3"/>
  <c r="G466" i="3"/>
  <c r="I407" i="3"/>
  <c r="H407" i="3"/>
  <c r="G407" i="3"/>
  <c r="I406" i="3"/>
  <c r="H406" i="3"/>
  <c r="G406" i="3"/>
  <c r="I356" i="3"/>
  <c r="H356" i="3"/>
  <c r="G356" i="3"/>
  <c r="I355" i="3"/>
  <c r="H355" i="3"/>
  <c r="G355" i="3"/>
  <c r="I354" i="3"/>
  <c r="H354" i="3"/>
  <c r="G354" i="3"/>
  <c r="I317" i="3"/>
  <c r="H317" i="3"/>
  <c r="G317" i="3"/>
  <c r="I316" i="3"/>
  <c r="H316" i="3"/>
  <c r="G316" i="3"/>
  <c r="I297" i="3"/>
  <c r="H297" i="3"/>
  <c r="G297" i="3"/>
  <c r="I296" i="3"/>
  <c r="H296" i="3"/>
  <c r="G296" i="3"/>
  <c r="I295" i="3"/>
  <c r="H295" i="3"/>
  <c r="G295" i="3"/>
  <c r="I294" i="3"/>
  <c r="H294" i="3"/>
  <c r="G294" i="3"/>
  <c r="I271" i="3"/>
  <c r="H271" i="3"/>
  <c r="G271" i="3"/>
  <c r="I270" i="3"/>
  <c r="H270" i="3"/>
  <c r="G270" i="3"/>
  <c r="I256" i="3"/>
  <c r="H256" i="3"/>
  <c r="G256" i="3"/>
  <c r="I255" i="3"/>
  <c r="H255" i="3"/>
  <c r="G255" i="3"/>
  <c r="I242" i="3"/>
  <c r="H242" i="3"/>
  <c r="G242" i="3"/>
  <c r="I241" i="3"/>
  <c r="H241" i="3"/>
  <c r="G241" i="3"/>
  <c r="I240" i="3"/>
  <c r="H240" i="3"/>
  <c r="G240" i="3"/>
  <c r="I220" i="3"/>
  <c r="H220" i="3"/>
  <c r="G220" i="3"/>
  <c r="I219" i="3"/>
  <c r="H219" i="3"/>
  <c r="G219" i="3"/>
  <c r="I206" i="3"/>
  <c r="H206" i="3"/>
  <c r="G206" i="3"/>
  <c r="I205" i="3"/>
  <c r="H205" i="3"/>
  <c r="G205" i="3"/>
  <c r="I189" i="3"/>
  <c r="H189" i="3"/>
  <c r="G189" i="3"/>
  <c r="I188" i="3"/>
  <c r="H188" i="3"/>
  <c r="G188" i="3"/>
  <c r="I172" i="3"/>
  <c r="H172" i="3"/>
  <c r="G172" i="3"/>
  <c r="I171" i="3"/>
  <c r="H171" i="3"/>
  <c r="G171" i="3"/>
  <c r="I170" i="3"/>
  <c r="H170" i="3"/>
  <c r="G170" i="3"/>
  <c r="I157" i="3"/>
  <c r="H157" i="3"/>
  <c r="G157" i="3"/>
  <c r="I156" i="3"/>
  <c r="H156" i="3"/>
  <c r="G156" i="3"/>
  <c r="I145" i="3"/>
  <c r="H145" i="3"/>
  <c r="G145" i="3"/>
  <c r="I144" i="3"/>
  <c r="H144" i="3"/>
  <c r="G144" i="3"/>
  <c r="I143" i="3"/>
  <c r="H143" i="3"/>
  <c r="G143" i="3"/>
  <c r="I127" i="3"/>
  <c r="H127" i="3"/>
  <c r="G127" i="3"/>
  <c r="I126" i="3"/>
  <c r="H126" i="3"/>
  <c r="G126" i="3"/>
  <c r="I112" i="3"/>
  <c r="H112" i="3"/>
  <c r="G112" i="3"/>
  <c r="I293" i="3"/>
  <c r="H293" i="3"/>
  <c r="G293" i="3"/>
  <c r="I239" i="3"/>
  <c r="H239" i="3"/>
  <c r="G239" i="3"/>
  <c r="I238" i="3"/>
  <c r="H238" i="3"/>
  <c r="G238" i="3"/>
  <c r="I204" i="3"/>
  <c r="H204" i="3"/>
  <c r="G204" i="3"/>
  <c r="I203" i="3"/>
  <c r="H203" i="3"/>
  <c r="G203" i="3"/>
  <c r="I187" i="3"/>
  <c r="H187" i="3"/>
  <c r="G187" i="3"/>
  <c r="I186" i="3"/>
  <c r="H186" i="3"/>
  <c r="G186" i="3"/>
  <c r="I185" i="3"/>
  <c r="H185" i="3"/>
  <c r="G185" i="3"/>
  <c r="I169" i="3"/>
  <c r="H169" i="3"/>
  <c r="G169" i="3"/>
  <c r="I168" i="3"/>
  <c r="H168" i="3"/>
  <c r="G168" i="3"/>
  <c r="I155" i="3"/>
  <c r="H155" i="3"/>
  <c r="G155" i="3"/>
  <c r="I154" i="3"/>
  <c r="H154" i="3"/>
  <c r="G154" i="3"/>
  <c r="I142" i="3"/>
  <c r="H142" i="3"/>
  <c r="G142" i="3"/>
  <c r="I141" i="3"/>
  <c r="H141" i="3"/>
  <c r="G141" i="3"/>
  <c r="I125" i="3"/>
  <c r="H125" i="3"/>
  <c r="G125" i="3"/>
  <c r="I124" i="3"/>
  <c r="H124" i="3"/>
  <c r="G124" i="3"/>
  <c r="I123" i="3"/>
  <c r="H123" i="3"/>
  <c r="G123" i="3"/>
  <c r="I111" i="3"/>
  <c r="H111" i="3"/>
  <c r="G111" i="3"/>
  <c r="I110" i="3"/>
  <c r="H110" i="3"/>
  <c r="G110" i="3"/>
  <c r="I97" i="3"/>
  <c r="H97" i="3"/>
  <c r="G97" i="3"/>
  <c r="I96" i="3"/>
  <c r="H96" i="3"/>
  <c r="G96" i="3"/>
  <c r="I95" i="3"/>
  <c r="H95" i="3"/>
  <c r="G95" i="3"/>
  <c r="I82" i="3"/>
  <c r="H82" i="3"/>
  <c r="G82" i="3"/>
  <c r="I81" i="3"/>
  <c r="H81" i="3"/>
  <c r="G81" i="3"/>
  <c r="I67" i="3"/>
  <c r="H67" i="3"/>
  <c r="G67" i="3"/>
  <c r="I140" i="3"/>
  <c r="H140" i="3"/>
  <c r="G140" i="3"/>
  <c r="I109" i="3"/>
  <c r="H109" i="3"/>
  <c r="G109" i="3"/>
  <c r="I108" i="3"/>
  <c r="H108" i="3"/>
  <c r="G108" i="3"/>
  <c r="I94" i="3"/>
  <c r="H94" i="3"/>
  <c r="G94" i="3"/>
  <c r="I93" i="3"/>
  <c r="H93" i="3"/>
  <c r="G93" i="3"/>
  <c r="I80" i="3"/>
  <c r="H80" i="3"/>
  <c r="G80" i="3"/>
  <c r="I79" i="3"/>
  <c r="H79" i="3"/>
  <c r="G79" i="3"/>
  <c r="I78" i="3"/>
  <c r="H78" i="3"/>
  <c r="G78" i="3"/>
  <c r="I66" i="3"/>
  <c r="H66" i="3"/>
  <c r="G66" i="3"/>
  <c r="I65" i="3"/>
  <c r="H65" i="3"/>
  <c r="G65" i="3"/>
  <c r="I58" i="3"/>
  <c r="H58" i="3"/>
  <c r="G58" i="3"/>
  <c r="I57" i="3"/>
  <c r="H57" i="3"/>
  <c r="G57" i="3"/>
  <c r="I56" i="3"/>
  <c r="H56" i="3"/>
  <c r="G56" i="3"/>
  <c r="I46" i="3"/>
  <c r="H46" i="3"/>
  <c r="G46" i="3"/>
  <c r="I45" i="3"/>
  <c r="H45" i="3"/>
  <c r="G45" i="3"/>
  <c r="I34" i="3"/>
  <c r="H34" i="3"/>
  <c r="G34" i="3"/>
  <c r="I55" i="3"/>
  <c r="H55" i="3"/>
  <c r="G55" i="3"/>
  <c r="I44" i="3"/>
  <c r="H44" i="3"/>
  <c r="G44" i="3"/>
  <c r="I43" i="3"/>
  <c r="H43" i="3"/>
  <c r="G43" i="3"/>
  <c r="I33" i="3"/>
  <c r="H33" i="3"/>
  <c r="G33" i="3"/>
  <c r="I32" i="3"/>
  <c r="H32" i="3"/>
  <c r="G32" i="3"/>
  <c r="I31" i="3"/>
  <c r="H31" i="3"/>
  <c r="G31" i="3"/>
  <c r="I22" i="3"/>
  <c r="H22" i="3"/>
  <c r="G22" i="3"/>
  <c r="I21" i="3"/>
  <c r="H21" i="3"/>
  <c r="G21" i="3"/>
  <c r="I13" i="3"/>
  <c r="H13" i="3"/>
  <c r="G13" i="3"/>
  <c r="I20" i="3"/>
  <c r="H20" i="3"/>
  <c r="G20" i="3"/>
  <c r="I12" i="3"/>
  <c r="H12" i="3"/>
  <c r="G12" i="3"/>
  <c r="I7" i="3"/>
  <c r="H7" i="3"/>
  <c r="G7" i="3"/>
  <c r="M4" i="3"/>
  <c r="L4" i="3"/>
  <c r="K4" i="3"/>
  <c r="I4" i="3"/>
  <c r="H4" i="3"/>
  <c r="G4" i="3"/>
  <c r="I1152" i="3"/>
  <c r="H1152" i="3"/>
  <c r="G1152" i="3"/>
  <c r="I1148" i="3"/>
  <c r="H1148" i="3"/>
  <c r="G1148" i="3"/>
  <c r="I1147" i="3"/>
  <c r="H1147" i="3"/>
  <c r="G1147" i="3"/>
  <c r="I1141" i="3"/>
  <c r="H1141" i="3"/>
  <c r="G1141" i="3"/>
  <c r="I1140" i="3"/>
  <c r="H1140" i="3"/>
  <c r="G1140" i="3"/>
  <c r="I1139" i="3"/>
  <c r="H1139" i="3"/>
  <c r="G1139" i="3"/>
  <c r="I1133" i="3"/>
  <c r="H1133" i="3"/>
  <c r="G1133" i="3"/>
  <c r="I1132" i="3"/>
  <c r="H1132" i="3"/>
  <c r="G1132" i="3"/>
  <c r="I1126" i="3"/>
  <c r="H1126" i="3"/>
  <c r="G1126" i="3"/>
  <c r="I1125" i="3"/>
  <c r="H1125" i="3"/>
  <c r="G1125" i="3"/>
  <c r="I1118" i="3"/>
  <c r="H1118" i="3"/>
  <c r="G1118" i="3"/>
  <c r="I1117" i="3"/>
  <c r="H1117" i="3"/>
  <c r="G1117" i="3"/>
  <c r="I1112" i="3"/>
  <c r="H1112" i="3"/>
  <c r="G1112" i="3"/>
  <c r="I1111" i="3"/>
  <c r="H1111" i="3"/>
  <c r="G1111" i="3"/>
  <c r="I1106" i="3"/>
  <c r="H1106" i="3"/>
  <c r="G1106" i="3"/>
  <c r="I1105" i="3"/>
  <c r="H1105" i="3"/>
  <c r="G1105" i="3"/>
  <c r="I1099" i="3"/>
  <c r="H1099" i="3"/>
  <c r="G1099" i="3"/>
  <c r="I1091" i="3"/>
  <c r="H1091" i="3"/>
  <c r="G1091" i="3"/>
  <c r="I1090" i="3"/>
  <c r="H1090" i="3"/>
  <c r="G1090" i="3"/>
  <c r="I1085" i="3"/>
  <c r="H1085" i="3"/>
  <c r="G1085" i="3"/>
  <c r="I1084" i="3"/>
  <c r="H1084" i="3"/>
  <c r="G1084" i="3"/>
  <c r="I1079" i="3"/>
  <c r="H1079" i="3"/>
  <c r="G1079" i="3"/>
  <c r="I1078" i="3"/>
  <c r="H1078" i="3"/>
  <c r="G1078" i="3"/>
  <c r="I1069" i="3"/>
  <c r="H1069" i="3"/>
  <c r="G1069" i="3"/>
  <c r="I1068" i="3"/>
  <c r="H1068" i="3"/>
  <c r="G1068" i="3"/>
  <c r="I1067" i="3"/>
  <c r="H1067" i="3"/>
  <c r="G1067" i="3"/>
  <c r="I1066" i="3"/>
  <c r="H1066" i="3"/>
  <c r="G1066" i="3"/>
  <c r="I1053" i="3"/>
  <c r="H1053" i="3"/>
  <c r="G1053" i="3"/>
  <c r="I1052" i="3"/>
  <c r="H1052" i="3"/>
  <c r="G1052" i="3"/>
  <c r="I1051" i="3"/>
  <c r="H1051" i="3"/>
  <c r="G1051" i="3"/>
  <c r="I1050" i="3"/>
  <c r="H1050" i="3"/>
  <c r="G1050" i="3"/>
  <c r="I1040" i="3"/>
  <c r="H1040" i="3"/>
  <c r="G1040" i="3"/>
  <c r="I1039" i="3"/>
  <c r="H1039" i="3"/>
  <c r="G1039" i="3"/>
  <c r="I1031" i="3"/>
  <c r="H1031" i="3"/>
  <c r="G1031" i="3"/>
  <c r="I1030" i="3"/>
  <c r="H1030" i="3"/>
  <c r="G1030" i="3"/>
  <c r="I1029" i="3"/>
  <c r="H1029" i="3"/>
  <c r="G1029" i="3"/>
  <c r="I1019" i="3"/>
  <c r="H1019" i="3"/>
  <c r="G1019" i="3"/>
  <c r="I1018" i="3"/>
  <c r="H1018" i="3"/>
  <c r="G1018" i="3"/>
  <c r="I1011" i="3"/>
  <c r="H1011" i="3"/>
  <c r="G1011" i="3"/>
  <c r="I1010" i="3"/>
  <c r="H1010" i="3"/>
  <c r="G1010" i="3"/>
  <c r="I997" i="3"/>
  <c r="H997" i="3"/>
  <c r="G997" i="3"/>
  <c r="I996" i="3"/>
  <c r="H996" i="3"/>
  <c r="G996" i="3"/>
  <c r="I995" i="3"/>
  <c r="H995" i="3"/>
  <c r="G995" i="3"/>
  <c r="I994" i="3"/>
  <c r="H994" i="3"/>
  <c r="G994" i="3"/>
  <c r="I980" i="3"/>
  <c r="H980" i="3"/>
  <c r="G980" i="3"/>
  <c r="I979" i="3"/>
  <c r="H979" i="3"/>
  <c r="G979" i="3"/>
  <c r="I972" i="3"/>
  <c r="H972" i="3"/>
  <c r="G972" i="3"/>
  <c r="I971" i="3"/>
  <c r="H971" i="3"/>
  <c r="G971" i="3"/>
  <c r="I949" i="3"/>
  <c r="H949" i="3"/>
  <c r="G949" i="3"/>
  <c r="I948" i="3"/>
  <c r="H948" i="3"/>
  <c r="G948" i="3"/>
  <c r="I947" i="3"/>
  <c r="H947" i="3"/>
  <c r="G947" i="3"/>
  <c r="I946" i="3"/>
  <c r="H946" i="3"/>
  <c r="G946" i="3"/>
  <c r="I931" i="3"/>
  <c r="H931" i="3"/>
  <c r="G931" i="3"/>
  <c r="I930" i="3"/>
  <c r="H930" i="3"/>
  <c r="G930" i="3"/>
  <c r="I912" i="3"/>
  <c r="H912" i="3"/>
  <c r="G912" i="3"/>
  <c r="I911" i="3"/>
  <c r="H911" i="3"/>
  <c r="G911" i="3"/>
  <c r="I910" i="3"/>
  <c r="H910" i="3"/>
  <c r="G910" i="3"/>
  <c r="I896" i="3"/>
  <c r="H896" i="3"/>
  <c r="G896" i="3"/>
  <c r="I895" i="3"/>
  <c r="H895" i="3"/>
  <c r="G895" i="3"/>
  <c r="I880" i="3"/>
  <c r="H880" i="3"/>
  <c r="G880" i="3"/>
  <c r="I879" i="3"/>
  <c r="H879" i="3"/>
  <c r="G879" i="3"/>
  <c r="I878" i="3"/>
  <c r="H878" i="3"/>
  <c r="G878" i="3"/>
  <c r="I877" i="3"/>
  <c r="H877" i="3"/>
  <c r="G877" i="3"/>
  <c r="I863" i="3"/>
  <c r="H863" i="3"/>
  <c r="G863" i="3"/>
  <c r="I862" i="3"/>
  <c r="H862" i="3"/>
  <c r="G862" i="3"/>
  <c r="I847" i="3"/>
  <c r="H847" i="3"/>
  <c r="G847" i="3"/>
  <c r="I846" i="3"/>
  <c r="H846" i="3"/>
  <c r="G846" i="3"/>
  <c r="I830" i="3"/>
  <c r="H830" i="3"/>
  <c r="G830" i="3"/>
  <c r="I829" i="3"/>
  <c r="H829" i="3"/>
  <c r="G829" i="3"/>
  <c r="I828" i="3"/>
  <c r="H828" i="3"/>
  <c r="G828" i="3"/>
  <c r="I801" i="3"/>
  <c r="H801" i="3"/>
  <c r="G801" i="3"/>
  <c r="I800" i="3"/>
  <c r="H800" i="3"/>
  <c r="G800" i="3"/>
  <c r="I786" i="3"/>
  <c r="H786" i="3"/>
  <c r="G786" i="3"/>
  <c r="I785" i="3"/>
  <c r="H785" i="3"/>
  <c r="G785" i="3"/>
  <c r="I784" i="3"/>
  <c r="H784" i="3"/>
  <c r="G784" i="3"/>
  <c r="I783" i="3"/>
  <c r="H783" i="3"/>
  <c r="G783" i="3"/>
  <c r="I764" i="3"/>
  <c r="H764" i="3"/>
  <c r="G764" i="3"/>
  <c r="I763" i="3"/>
  <c r="H763" i="3"/>
  <c r="G763" i="3"/>
  <c r="I744" i="3"/>
  <c r="H744" i="3"/>
  <c r="G744" i="3"/>
  <c r="I743" i="3"/>
  <c r="H743" i="3"/>
  <c r="G743" i="3"/>
  <c r="I727" i="3"/>
  <c r="H727" i="3"/>
  <c r="G727" i="3"/>
  <c r="I726" i="3"/>
  <c r="H726" i="3"/>
  <c r="G726" i="3"/>
  <c r="I725" i="3"/>
  <c r="H725" i="3"/>
  <c r="G725" i="3"/>
  <c r="I702" i="3"/>
  <c r="H702" i="3"/>
  <c r="G702" i="3"/>
  <c r="I701" i="3"/>
  <c r="H701" i="3"/>
  <c r="G701" i="3"/>
  <c r="I681" i="3"/>
  <c r="H681" i="3"/>
  <c r="G681" i="3"/>
  <c r="I680" i="3"/>
  <c r="H680" i="3"/>
  <c r="G680" i="3"/>
  <c r="I661" i="3"/>
  <c r="H661" i="3"/>
  <c r="G661" i="3"/>
  <c r="I660" i="3"/>
  <c r="H660" i="3"/>
  <c r="G660" i="3"/>
  <c r="I642" i="3"/>
  <c r="H642" i="3"/>
  <c r="G642" i="3"/>
  <c r="I641" i="3"/>
  <c r="H641" i="3"/>
  <c r="G641" i="3"/>
  <c r="I640" i="3"/>
  <c r="H640" i="3"/>
  <c r="G640" i="3"/>
  <c r="I618" i="3"/>
  <c r="H618" i="3"/>
  <c r="G618" i="3"/>
  <c r="I617" i="3"/>
  <c r="H617" i="3"/>
  <c r="G617" i="3"/>
  <c r="I591" i="3"/>
  <c r="H591" i="3"/>
  <c r="G591" i="3"/>
  <c r="I590" i="3"/>
  <c r="H590" i="3"/>
  <c r="G590" i="3"/>
  <c r="I589" i="3"/>
  <c r="H589" i="3"/>
  <c r="G589" i="3"/>
  <c r="I569" i="3"/>
  <c r="H569" i="3"/>
  <c r="G569" i="3"/>
  <c r="I568" i="3"/>
  <c r="H568" i="3"/>
  <c r="G568" i="3"/>
  <c r="I545" i="3"/>
  <c r="H545" i="3"/>
  <c r="G545" i="3"/>
  <c r="I1124" i="3"/>
  <c r="H1124" i="3"/>
  <c r="G1124" i="3"/>
  <c r="I1098" i="3"/>
  <c r="H1098" i="3"/>
  <c r="G1098" i="3"/>
  <c r="I1097" i="3"/>
  <c r="H1097" i="3"/>
  <c r="G1097" i="3"/>
  <c r="I1065" i="3"/>
  <c r="H1065" i="3"/>
  <c r="G1065" i="3"/>
  <c r="I1064" i="3"/>
  <c r="H1064" i="3"/>
  <c r="G1064" i="3"/>
  <c r="I1044" i="3"/>
  <c r="H1044" i="3"/>
  <c r="G1044" i="3"/>
  <c r="I1028" i="3"/>
  <c r="H1028" i="3"/>
  <c r="G1028" i="3"/>
  <c r="I1027" i="3"/>
  <c r="H1027" i="3"/>
  <c r="G1027" i="3"/>
  <c r="I1009" i="3"/>
  <c r="H1009" i="3"/>
  <c r="G1009" i="3"/>
  <c r="I1008" i="3"/>
  <c r="H1008" i="3"/>
  <c r="G1008" i="3"/>
  <c r="I993" i="3"/>
  <c r="H993" i="3"/>
  <c r="G993" i="3"/>
  <c r="I992" i="3"/>
  <c r="H992" i="3"/>
  <c r="G992" i="3"/>
  <c r="I970" i="3"/>
  <c r="H970" i="3"/>
  <c r="G970" i="3"/>
  <c r="I969" i="3"/>
  <c r="H969" i="3"/>
  <c r="G969" i="3"/>
  <c r="I961" i="3"/>
  <c r="H961" i="3"/>
  <c r="G961" i="3"/>
  <c r="I960" i="3"/>
  <c r="H960" i="3"/>
  <c r="G960" i="3"/>
  <c r="I959" i="3"/>
  <c r="H959" i="3"/>
  <c r="G959" i="3"/>
  <c r="I945" i="3"/>
  <c r="H945" i="3"/>
  <c r="G945" i="3"/>
  <c r="I944" i="3"/>
  <c r="H944" i="3"/>
  <c r="G944" i="3"/>
  <c r="I929" i="3"/>
  <c r="H929" i="3"/>
  <c r="G929" i="3"/>
  <c r="I928" i="3"/>
  <c r="H928" i="3"/>
  <c r="G928" i="3"/>
  <c r="I909" i="3"/>
  <c r="H909" i="3"/>
  <c r="G909" i="3"/>
  <c r="I908" i="3"/>
  <c r="H908" i="3"/>
  <c r="G908" i="3"/>
  <c r="I907" i="3"/>
  <c r="H907" i="3"/>
  <c r="G907" i="3"/>
  <c r="I906" i="3"/>
  <c r="H906" i="3"/>
  <c r="G906" i="3"/>
  <c r="I890" i="3"/>
  <c r="H890" i="3"/>
  <c r="G890" i="3"/>
  <c r="I889" i="3"/>
  <c r="H889" i="3"/>
  <c r="G889" i="3"/>
  <c r="I876" i="3"/>
  <c r="H876" i="3"/>
  <c r="G876" i="3"/>
  <c r="I875" i="3"/>
  <c r="H875" i="3"/>
  <c r="G875" i="3"/>
  <c r="I845" i="3"/>
  <c r="H845" i="3"/>
  <c r="G845" i="3"/>
  <c r="I844" i="3"/>
  <c r="H844" i="3"/>
  <c r="G844" i="3"/>
  <c r="I843" i="3"/>
  <c r="H843" i="3"/>
  <c r="G843" i="3"/>
  <c r="I842" i="3"/>
  <c r="H842" i="3"/>
  <c r="G842" i="3"/>
  <c r="I827" i="3"/>
  <c r="H827" i="3"/>
  <c r="G827" i="3"/>
  <c r="I826" i="3"/>
  <c r="H826" i="3"/>
  <c r="G826" i="3"/>
  <c r="I815" i="3"/>
  <c r="H815" i="3"/>
  <c r="G815" i="3"/>
  <c r="I814" i="3"/>
  <c r="H814" i="3"/>
  <c r="G814" i="3"/>
  <c r="I813" i="3"/>
  <c r="H813" i="3"/>
  <c r="G813" i="3"/>
  <c r="I799" i="3"/>
  <c r="H799" i="3"/>
  <c r="G799" i="3"/>
  <c r="I798" i="3"/>
  <c r="H798" i="3"/>
  <c r="G798" i="3"/>
  <c r="I762" i="3"/>
  <c r="H762" i="3"/>
  <c r="G762" i="3"/>
  <c r="I761" i="3"/>
  <c r="H761" i="3"/>
  <c r="G761" i="3"/>
  <c r="I760" i="3"/>
  <c r="H760" i="3"/>
  <c r="G760" i="3"/>
  <c r="I759" i="3"/>
  <c r="H759" i="3"/>
  <c r="G759" i="3"/>
  <c r="I742" i="3"/>
  <c r="H742" i="3"/>
  <c r="G742" i="3"/>
  <c r="I741" i="3"/>
  <c r="H741" i="3"/>
  <c r="G741" i="3"/>
  <c r="I724" i="3"/>
  <c r="H724" i="3"/>
  <c r="G724" i="3"/>
  <c r="I723" i="3"/>
  <c r="H723" i="3"/>
  <c r="G723" i="3"/>
  <c r="I700" i="3"/>
  <c r="H700" i="3"/>
  <c r="G700" i="3"/>
  <c r="I699" i="3"/>
  <c r="H699" i="3"/>
  <c r="G699" i="3"/>
  <c r="I698" i="3"/>
  <c r="H698" i="3"/>
  <c r="G698" i="3"/>
  <c r="I659" i="3"/>
  <c r="H659" i="3"/>
  <c r="G659" i="3"/>
  <c r="I658" i="3"/>
  <c r="H658" i="3"/>
  <c r="G658" i="3"/>
  <c r="I639" i="3"/>
  <c r="H639" i="3"/>
  <c r="G639" i="3"/>
  <c r="I638" i="3"/>
  <c r="H638" i="3"/>
  <c r="G638" i="3"/>
  <c r="I637" i="3"/>
  <c r="H637" i="3"/>
  <c r="G637" i="3"/>
  <c r="I636" i="3"/>
  <c r="H636" i="3"/>
  <c r="G636" i="3"/>
  <c r="I616" i="3"/>
  <c r="H616" i="3"/>
  <c r="G616" i="3"/>
  <c r="I615" i="3"/>
  <c r="H615" i="3"/>
  <c r="G615" i="3"/>
  <c r="I588" i="3"/>
  <c r="H588" i="3"/>
  <c r="G588" i="3"/>
  <c r="I587" i="3"/>
  <c r="H587" i="3"/>
  <c r="G587" i="3"/>
  <c r="I567" i="3"/>
  <c r="H567" i="3"/>
  <c r="G567" i="3"/>
  <c r="I566" i="3"/>
  <c r="H566" i="3"/>
  <c r="G566" i="3"/>
  <c r="I565" i="3"/>
  <c r="H565" i="3"/>
  <c r="G565" i="3"/>
  <c r="I544" i="3"/>
  <c r="H544" i="3"/>
  <c r="G544" i="3"/>
  <c r="I543" i="3"/>
  <c r="H543" i="3"/>
  <c r="G543" i="3"/>
  <c r="I527" i="3"/>
  <c r="H527" i="3"/>
  <c r="G527" i="3"/>
  <c r="I526" i="3"/>
  <c r="H526" i="3"/>
  <c r="G526" i="3"/>
  <c r="I515" i="3"/>
  <c r="H515" i="3"/>
  <c r="G515" i="3"/>
  <c r="I514" i="3"/>
  <c r="H514" i="3"/>
  <c r="G514" i="3"/>
  <c r="I490" i="3"/>
  <c r="H490" i="3"/>
  <c r="G490" i="3"/>
  <c r="I489" i="3"/>
  <c r="H489" i="3"/>
  <c r="G489" i="3"/>
  <c r="I488" i="3"/>
  <c r="H488" i="3"/>
  <c r="G488" i="3"/>
  <c r="I465" i="3"/>
  <c r="H465" i="3"/>
  <c r="G465" i="3"/>
  <c r="I464" i="3"/>
  <c r="H464" i="3"/>
  <c r="G464" i="3"/>
  <c r="I443" i="3"/>
  <c r="H443" i="3"/>
  <c r="G443" i="3"/>
  <c r="I442" i="3"/>
  <c r="H442" i="3"/>
  <c r="G442" i="3"/>
  <c r="I441" i="3"/>
  <c r="H441" i="3"/>
  <c r="G441" i="3"/>
  <c r="I422" i="3"/>
  <c r="H422" i="3"/>
  <c r="G422" i="3"/>
  <c r="I421" i="3"/>
  <c r="H421" i="3"/>
  <c r="G421" i="3"/>
  <c r="I405" i="3"/>
  <c r="H405" i="3"/>
  <c r="G405" i="3"/>
  <c r="I984" i="3"/>
  <c r="H984" i="3"/>
  <c r="G984" i="3"/>
  <c r="I927" i="3"/>
  <c r="H927" i="3"/>
  <c r="G927" i="3"/>
  <c r="I926" i="3"/>
  <c r="H926" i="3"/>
  <c r="G926" i="3"/>
  <c r="I861" i="3"/>
  <c r="H861" i="3"/>
  <c r="G861" i="3"/>
  <c r="I860" i="3"/>
  <c r="H860" i="3"/>
  <c r="G860" i="3"/>
  <c r="I859" i="3"/>
  <c r="H859" i="3"/>
  <c r="G859" i="3"/>
  <c r="I812" i="3"/>
  <c r="H812" i="3"/>
  <c r="G812" i="3"/>
  <c r="I811" i="3"/>
  <c r="H811" i="3"/>
  <c r="G811" i="3"/>
  <c r="I782" i="3"/>
  <c r="H782" i="3"/>
  <c r="G782" i="3"/>
  <c r="I781" i="3"/>
  <c r="H781" i="3"/>
  <c r="G781" i="3"/>
  <c r="I758" i="3"/>
  <c r="H758" i="3"/>
  <c r="G758" i="3"/>
  <c r="I757" i="3"/>
  <c r="H757" i="3"/>
  <c r="G757" i="3"/>
  <c r="I722" i="3"/>
  <c r="H722" i="3"/>
  <c r="G722" i="3"/>
  <c r="I721" i="3"/>
  <c r="H721" i="3"/>
  <c r="G721" i="3"/>
  <c r="I720" i="3"/>
  <c r="H720" i="3"/>
  <c r="G720" i="3"/>
  <c r="I719" i="3"/>
  <c r="H719" i="3"/>
  <c r="G719" i="3"/>
  <c r="I697" i="3"/>
  <c r="H697" i="3"/>
  <c r="G697" i="3"/>
  <c r="I696" i="3"/>
  <c r="H696" i="3"/>
  <c r="G696" i="3"/>
  <c r="I679" i="3"/>
  <c r="H679" i="3"/>
  <c r="G679" i="3"/>
  <c r="I678" i="3"/>
  <c r="H678" i="3"/>
  <c r="G678" i="3"/>
  <c r="I677" i="3"/>
  <c r="H677" i="3"/>
  <c r="G677" i="3"/>
  <c r="I657" i="3"/>
  <c r="H657" i="3"/>
  <c r="G657" i="3"/>
  <c r="I656" i="3"/>
  <c r="H656" i="3"/>
  <c r="G656" i="3"/>
  <c r="I614" i="3"/>
  <c r="H614" i="3"/>
  <c r="G614" i="3"/>
  <c r="I613" i="3"/>
  <c r="H613" i="3"/>
  <c r="G613" i="3"/>
  <c r="I612" i="3"/>
  <c r="H612" i="3"/>
  <c r="G612" i="3"/>
  <c r="I611" i="3"/>
  <c r="H611" i="3"/>
  <c r="G611" i="3"/>
  <c r="I586" i="3"/>
  <c r="H586" i="3"/>
  <c r="G586" i="3"/>
  <c r="I585" i="3"/>
  <c r="H585" i="3"/>
  <c r="G585" i="3"/>
  <c r="I564" i="3"/>
  <c r="H564" i="3"/>
  <c r="G564" i="3"/>
  <c r="I563" i="3"/>
  <c r="H563" i="3"/>
  <c r="G563" i="3"/>
  <c r="I542" i="3"/>
  <c r="H542" i="3"/>
  <c r="G542" i="3"/>
  <c r="I541" i="3"/>
  <c r="H541" i="3"/>
  <c r="G541" i="3"/>
  <c r="I540" i="3"/>
  <c r="H540" i="3"/>
  <c r="G540" i="3"/>
  <c r="I513" i="3"/>
  <c r="H513" i="3"/>
  <c r="G513" i="3"/>
  <c r="I512" i="3"/>
  <c r="H512" i="3"/>
  <c r="G512" i="3"/>
  <c r="I487" i="3"/>
  <c r="H487" i="3"/>
  <c r="G487" i="3"/>
  <c r="I486" i="3"/>
  <c r="H486" i="3"/>
  <c r="G486" i="3"/>
  <c r="I485" i="3"/>
  <c r="H485" i="3"/>
  <c r="G485" i="3"/>
  <c r="I484" i="3"/>
  <c r="H484" i="3"/>
  <c r="G484" i="3"/>
  <c r="I463" i="3"/>
  <c r="H463" i="3"/>
  <c r="G463" i="3"/>
  <c r="I462" i="3"/>
  <c r="H462" i="3"/>
  <c r="G462" i="3"/>
  <c r="I440" i="3"/>
  <c r="H440" i="3"/>
  <c r="G440" i="3"/>
  <c r="I439" i="3"/>
  <c r="H439" i="3"/>
  <c r="G439" i="3"/>
  <c r="I420" i="3"/>
  <c r="H420" i="3"/>
  <c r="G420" i="3"/>
  <c r="I419" i="3"/>
  <c r="H419" i="3"/>
  <c r="G419" i="3"/>
  <c r="I418" i="3"/>
  <c r="H418" i="3"/>
  <c r="G418" i="3"/>
  <c r="I404" i="3"/>
  <c r="H404" i="3"/>
  <c r="G404" i="3"/>
  <c r="I403" i="3"/>
  <c r="H403" i="3"/>
  <c r="G403" i="3"/>
  <c r="I385" i="3"/>
  <c r="H385" i="3"/>
  <c r="G385" i="3"/>
  <c r="I384" i="3"/>
  <c r="H384" i="3"/>
  <c r="G384" i="3"/>
  <c r="I369" i="3"/>
  <c r="H369" i="3"/>
  <c r="G369" i="3"/>
  <c r="I368" i="3"/>
  <c r="H368" i="3"/>
  <c r="G368" i="3"/>
  <c r="I353" i="3"/>
  <c r="H353" i="3"/>
  <c r="G353" i="3"/>
  <c r="I352" i="3"/>
  <c r="H352" i="3"/>
  <c r="G352" i="3"/>
  <c r="I351" i="3"/>
  <c r="H351" i="3"/>
  <c r="G351" i="3"/>
  <c r="I332" i="3"/>
  <c r="H332" i="3"/>
  <c r="G332" i="3"/>
  <c r="I331" i="3"/>
  <c r="H331" i="3"/>
  <c r="G331" i="3"/>
  <c r="I315" i="3"/>
  <c r="H315" i="3"/>
  <c r="G315" i="3"/>
  <c r="I314" i="3"/>
  <c r="H314" i="3"/>
  <c r="G314" i="3"/>
  <c r="I313" i="3"/>
  <c r="H313" i="3"/>
  <c r="G313" i="3"/>
  <c r="I292" i="3"/>
  <c r="H292" i="3"/>
  <c r="G292" i="3"/>
  <c r="I291" i="3"/>
  <c r="H291" i="3"/>
  <c r="G291" i="3"/>
  <c r="I269" i="3"/>
  <c r="H269" i="3"/>
  <c r="G269" i="3"/>
  <c r="I780" i="3"/>
  <c r="H780" i="3"/>
  <c r="G780" i="3"/>
  <c r="I676" i="3"/>
  <c r="H676" i="3"/>
  <c r="G676" i="3"/>
  <c r="I675" i="3"/>
  <c r="H675" i="3"/>
  <c r="G675" i="3"/>
  <c r="I610" i="3"/>
  <c r="H610" i="3"/>
  <c r="G610" i="3"/>
  <c r="I609" i="3"/>
  <c r="H609" i="3"/>
  <c r="G609" i="3"/>
  <c r="I562" i="3"/>
  <c r="H562" i="3"/>
  <c r="G562" i="3"/>
  <c r="I539" i="3"/>
  <c r="H539" i="3"/>
  <c r="G539" i="3"/>
  <c r="I538" i="3"/>
  <c r="H538" i="3"/>
  <c r="G538" i="3"/>
  <c r="I511" i="3"/>
  <c r="H511" i="3"/>
  <c r="G511" i="3"/>
  <c r="I510" i="3"/>
  <c r="H510" i="3"/>
  <c r="G510" i="3"/>
  <c r="I509" i="3"/>
  <c r="H509" i="3"/>
  <c r="G509" i="3"/>
  <c r="I508" i="3"/>
  <c r="H508" i="3"/>
  <c r="G508" i="3"/>
  <c r="I483" i="3"/>
  <c r="H483" i="3"/>
  <c r="G483" i="3"/>
  <c r="I482" i="3"/>
  <c r="H482" i="3"/>
  <c r="G482" i="3"/>
  <c r="I461" i="3"/>
  <c r="H461" i="3"/>
  <c r="G461" i="3"/>
  <c r="I460" i="3"/>
  <c r="H460" i="3"/>
  <c r="G460" i="3"/>
  <c r="I438" i="3"/>
  <c r="H438" i="3"/>
  <c r="G438" i="3"/>
  <c r="I437" i="3"/>
  <c r="H437" i="3"/>
  <c r="G437" i="3"/>
  <c r="I436" i="3"/>
  <c r="H436" i="3"/>
  <c r="G436" i="3"/>
  <c r="I402" i="3"/>
  <c r="H402" i="3"/>
  <c r="G402" i="3"/>
  <c r="I401" i="3"/>
  <c r="H401" i="3"/>
  <c r="G401" i="3"/>
  <c r="I383" i="3"/>
  <c r="H383" i="3"/>
  <c r="G383" i="3"/>
  <c r="I382" i="3"/>
  <c r="H382" i="3"/>
  <c r="G382" i="3"/>
  <c r="I381" i="3"/>
  <c r="H381" i="3"/>
  <c r="G381" i="3"/>
  <c r="I380" i="3"/>
  <c r="H380" i="3"/>
  <c r="G380" i="3"/>
  <c r="I367" i="3"/>
  <c r="H367" i="3"/>
  <c r="G367" i="3"/>
  <c r="I366" i="3"/>
  <c r="H366" i="3"/>
  <c r="G366" i="3"/>
  <c r="I350" i="3"/>
  <c r="H350" i="3"/>
  <c r="G350" i="3"/>
  <c r="I349" i="3"/>
  <c r="H349" i="3"/>
  <c r="G349" i="3"/>
  <c r="I330" i="3"/>
  <c r="H330" i="3"/>
  <c r="G330" i="3"/>
  <c r="I329" i="3"/>
  <c r="H329" i="3"/>
  <c r="G329" i="3"/>
  <c r="I328" i="3"/>
  <c r="H328" i="3"/>
  <c r="G328" i="3"/>
  <c r="I312" i="3"/>
  <c r="H312" i="3"/>
  <c r="G312" i="3"/>
  <c r="I311" i="3"/>
  <c r="H311" i="3"/>
  <c r="G311" i="3"/>
  <c r="I290" i="3"/>
  <c r="H290" i="3"/>
  <c r="G290" i="3"/>
  <c r="I289" i="3"/>
  <c r="H289" i="3"/>
  <c r="G289" i="3"/>
  <c r="I268" i="3"/>
  <c r="H268" i="3"/>
  <c r="G268" i="3"/>
  <c r="I267" i="3"/>
  <c r="H267" i="3"/>
  <c r="G267" i="3"/>
  <c r="I254" i="3"/>
  <c r="H254" i="3"/>
  <c r="G254" i="3"/>
  <c r="I253" i="3"/>
  <c r="H253" i="3"/>
  <c r="G253" i="3"/>
  <c r="I252" i="3"/>
  <c r="H252" i="3"/>
  <c r="G252" i="3"/>
  <c r="I237" i="3"/>
  <c r="H237" i="3"/>
  <c r="G237" i="3"/>
  <c r="I236" i="3"/>
  <c r="H236" i="3"/>
  <c r="G236" i="3"/>
  <c r="I218" i="3"/>
  <c r="H218" i="3"/>
  <c r="G218" i="3"/>
  <c r="I217" i="3"/>
  <c r="H217" i="3"/>
  <c r="G217" i="3"/>
  <c r="I216" i="3"/>
  <c r="H216" i="3"/>
  <c r="G216" i="3"/>
  <c r="I202" i="3"/>
  <c r="H202" i="3"/>
  <c r="G202" i="3"/>
  <c r="I201" i="3"/>
  <c r="H201" i="3"/>
  <c r="G201" i="3"/>
  <c r="I184" i="3"/>
  <c r="H184" i="3"/>
  <c r="G184" i="3"/>
  <c r="I459" i="3"/>
  <c r="H459" i="3"/>
  <c r="G459" i="3"/>
  <c r="I400" i="3"/>
  <c r="H400" i="3"/>
  <c r="G400" i="3"/>
  <c r="I399" i="3"/>
  <c r="H399" i="3"/>
  <c r="G399" i="3"/>
  <c r="I348" i="3"/>
  <c r="H348" i="3"/>
  <c r="G348" i="3"/>
  <c r="I347" i="3"/>
  <c r="H347" i="3"/>
  <c r="G347" i="3"/>
  <c r="I346" i="3"/>
  <c r="H346" i="3"/>
  <c r="G346" i="3"/>
  <c r="I310" i="3"/>
  <c r="H310" i="3"/>
  <c r="G310" i="3"/>
  <c r="I309" i="3"/>
  <c r="H309" i="3"/>
  <c r="G309" i="3"/>
  <c r="I288" i="3"/>
  <c r="H288" i="3"/>
  <c r="G288" i="3"/>
  <c r="I287" i="3"/>
  <c r="H287" i="3"/>
  <c r="G287" i="3"/>
  <c r="I286" i="3"/>
  <c r="H286" i="3"/>
  <c r="G286" i="3"/>
  <c r="I285" i="3"/>
  <c r="H285" i="3"/>
  <c r="G285" i="3"/>
  <c r="I266" i="3"/>
  <c r="H266" i="3"/>
  <c r="G266" i="3"/>
  <c r="I265" i="3"/>
  <c r="H265" i="3"/>
  <c r="G265" i="3"/>
  <c r="I251" i="3"/>
  <c r="H251" i="3"/>
  <c r="G251" i="3"/>
  <c r="I250" i="3"/>
  <c r="H250" i="3"/>
  <c r="G250" i="3"/>
  <c r="I235" i="3"/>
  <c r="H235" i="3"/>
  <c r="G235" i="3"/>
  <c r="I234" i="3"/>
  <c r="H234" i="3"/>
  <c r="G234" i="3"/>
  <c r="I233" i="3"/>
  <c r="H233" i="3"/>
  <c r="G233" i="3"/>
  <c r="I215" i="3"/>
  <c r="H215" i="3"/>
  <c r="G215" i="3"/>
  <c r="I214" i="3"/>
  <c r="H214" i="3"/>
  <c r="G214" i="3"/>
  <c r="I200" i="3"/>
  <c r="H200" i="3"/>
  <c r="G200" i="3"/>
  <c r="I199" i="3"/>
  <c r="H199" i="3"/>
  <c r="G199" i="3"/>
  <c r="I183" i="3"/>
  <c r="H183" i="3"/>
  <c r="G183" i="3"/>
  <c r="I182" i="3"/>
  <c r="H182" i="3"/>
  <c r="G182" i="3"/>
  <c r="I167" i="3"/>
  <c r="H167" i="3"/>
  <c r="G167" i="3"/>
  <c r="I166" i="3"/>
  <c r="H166" i="3"/>
  <c r="G166" i="3"/>
  <c r="I165" i="3"/>
  <c r="H165" i="3"/>
  <c r="G165" i="3"/>
  <c r="I153" i="3"/>
  <c r="H153" i="3"/>
  <c r="G153" i="3"/>
  <c r="I152" i="3"/>
  <c r="H152" i="3"/>
  <c r="G152" i="3"/>
  <c r="I139" i="3"/>
  <c r="H139" i="3"/>
  <c r="G139" i="3"/>
  <c r="I138" i="3"/>
  <c r="H138" i="3"/>
  <c r="G138" i="3"/>
  <c r="I137" i="3"/>
  <c r="H137" i="3"/>
  <c r="G137" i="3"/>
  <c r="I122" i="3"/>
  <c r="H122" i="3"/>
  <c r="G122" i="3"/>
  <c r="I121" i="3"/>
  <c r="H121" i="3"/>
  <c r="G121" i="3"/>
  <c r="I107" i="3"/>
  <c r="H107" i="3"/>
  <c r="G107" i="3"/>
  <c r="I284" i="3"/>
  <c r="H284" i="3"/>
  <c r="G284" i="3"/>
  <c r="I232" i="3"/>
  <c r="H232" i="3"/>
  <c r="G232" i="3"/>
  <c r="I231" i="3"/>
  <c r="H231" i="3"/>
  <c r="G231" i="3"/>
  <c r="I198" i="3"/>
  <c r="H198" i="3"/>
  <c r="G198" i="3"/>
  <c r="I197" i="3"/>
  <c r="H197" i="3"/>
  <c r="G197" i="3"/>
  <c r="I181" i="3"/>
  <c r="H181" i="3"/>
  <c r="G181" i="3"/>
  <c r="I180" i="3"/>
  <c r="H180" i="3"/>
  <c r="G180" i="3"/>
  <c r="I179" i="3"/>
  <c r="H179" i="3"/>
  <c r="G179" i="3"/>
  <c r="I164" i="3"/>
  <c r="H164" i="3"/>
  <c r="G164" i="3"/>
  <c r="I163" i="3"/>
  <c r="H163" i="3"/>
  <c r="G163" i="3"/>
  <c r="I151" i="3"/>
  <c r="H151" i="3"/>
  <c r="G151" i="3"/>
  <c r="I150" i="3"/>
  <c r="H150" i="3"/>
  <c r="G150" i="3"/>
  <c r="I136" i="3"/>
  <c r="H136" i="3"/>
  <c r="G136" i="3"/>
  <c r="I135" i="3"/>
  <c r="H135" i="3"/>
  <c r="G135" i="3"/>
  <c r="I120" i="3"/>
  <c r="H120" i="3"/>
  <c r="G120" i="3"/>
  <c r="I119" i="3"/>
  <c r="H119" i="3"/>
  <c r="G119" i="3"/>
  <c r="I118" i="3"/>
  <c r="H118" i="3"/>
  <c r="G118" i="3"/>
  <c r="I106" i="3"/>
  <c r="H106" i="3"/>
  <c r="G106" i="3"/>
  <c r="I105" i="3"/>
  <c r="H105" i="3"/>
  <c r="G105" i="3"/>
  <c r="I92" i="3"/>
  <c r="H92" i="3"/>
  <c r="G92" i="3"/>
  <c r="I91" i="3"/>
  <c r="H91" i="3"/>
  <c r="G91" i="3"/>
  <c r="I90" i="3"/>
  <c r="H90" i="3"/>
  <c r="G90" i="3"/>
  <c r="I77" i="3"/>
  <c r="H77" i="3"/>
  <c r="G77" i="3"/>
  <c r="I76" i="3"/>
  <c r="H76" i="3"/>
  <c r="G76" i="3"/>
  <c r="I64" i="3"/>
  <c r="H64" i="3"/>
  <c r="G64" i="3"/>
  <c r="I134" i="3"/>
  <c r="H134" i="3"/>
  <c r="G134" i="3"/>
  <c r="I104" i="3"/>
  <c r="H104" i="3"/>
  <c r="G104" i="3"/>
  <c r="I103" i="3"/>
  <c r="H103" i="3"/>
  <c r="G103" i="3"/>
  <c r="I89" i="3"/>
  <c r="H89" i="3"/>
  <c r="G89" i="3"/>
  <c r="I88" i="3"/>
  <c r="H88" i="3"/>
  <c r="G88" i="3"/>
  <c r="I75" i="3"/>
  <c r="H75" i="3"/>
  <c r="G75" i="3"/>
  <c r="I74" i="3"/>
  <c r="H74" i="3"/>
  <c r="G74" i="3"/>
  <c r="I73" i="3"/>
  <c r="H73" i="3"/>
  <c r="G73" i="3"/>
  <c r="I63" i="3"/>
  <c r="H63" i="3"/>
  <c r="G63" i="3"/>
  <c r="I62" i="3"/>
  <c r="H62" i="3"/>
  <c r="G62" i="3"/>
  <c r="I54" i="3"/>
  <c r="H54" i="3"/>
  <c r="G54" i="3"/>
  <c r="I53" i="3"/>
  <c r="H53" i="3"/>
  <c r="G53" i="3"/>
  <c r="I52" i="3"/>
  <c r="H52" i="3"/>
  <c r="G52" i="3"/>
  <c r="I42" i="3"/>
  <c r="H42" i="3"/>
  <c r="G42" i="3"/>
  <c r="I41" i="3"/>
  <c r="H41" i="3"/>
  <c r="G41" i="3"/>
  <c r="I30" i="3"/>
  <c r="H30" i="3"/>
  <c r="G30" i="3"/>
  <c r="I51" i="3"/>
  <c r="H51" i="3"/>
  <c r="G51" i="3"/>
  <c r="I40" i="3"/>
  <c r="H40" i="3"/>
  <c r="G40" i="3"/>
  <c r="I39" i="3"/>
  <c r="H39" i="3"/>
  <c r="G39" i="3"/>
  <c r="I29" i="3"/>
  <c r="H29" i="3"/>
  <c r="G29" i="3"/>
  <c r="I28" i="3"/>
  <c r="H28" i="3"/>
  <c r="G28" i="3"/>
  <c r="I27" i="3"/>
  <c r="H27" i="3"/>
  <c r="G27" i="3"/>
  <c r="I19" i="3"/>
  <c r="H19" i="3"/>
  <c r="G19" i="3"/>
  <c r="I18" i="3"/>
  <c r="H18" i="3"/>
  <c r="G18" i="3"/>
  <c r="I11" i="3"/>
  <c r="H11" i="3"/>
  <c r="G11" i="3"/>
  <c r="I17" i="3"/>
  <c r="H17" i="3"/>
  <c r="G17" i="3"/>
  <c r="I10" i="3"/>
  <c r="H10" i="3"/>
  <c r="G10" i="3"/>
  <c r="L6" i="3"/>
  <c r="I6" i="3"/>
  <c r="H6" i="3"/>
  <c r="G6" i="3"/>
  <c r="M3" i="3"/>
  <c r="L3" i="3"/>
  <c r="K3" i="3"/>
  <c r="I3" i="3"/>
  <c r="H3" i="3"/>
  <c r="G3" i="3"/>
  <c r="K50" i="3"/>
  <c r="L50" i="3"/>
  <c r="M50" i="3"/>
  <c r="K60" i="3"/>
  <c r="L60" i="3"/>
  <c r="M60" i="3"/>
  <c r="K69" i="3"/>
  <c r="L69" i="3"/>
  <c r="M69" i="3"/>
  <c r="K98" i="3"/>
  <c r="L98" i="3"/>
  <c r="M98" i="3"/>
  <c r="K70" i="3"/>
  <c r="L70" i="3"/>
  <c r="M70" i="3"/>
  <c r="K84" i="3"/>
  <c r="L84" i="3"/>
  <c r="M84" i="3"/>
  <c r="K99" i="3"/>
  <c r="L99" i="3"/>
  <c r="M99" i="3"/>
  <c r="K128" i="3"/>
  <c r="L128" i="3"/>
  <c r="M128" i="3"/>
  <c r="K61" i="3"/>
  <c r="L61" i="3"/>
  <c r="M61" i="3"/>
  <c r="K71" i="3"/>
  <c r="L71" i="3"/>
  <c r="M71" i="3"/>
  <c r="K85" i="3"/>
  <c r="L85" i="3"/>
  <c r="M85" i="3"/>
  <c r="K113" i="3"/>
  <c r="L113" i="3"/>
  <c r="M113" i="3"/>
  <c r="K158" i="3"/>
  <c r="L158" i="3"/>
  <c r="M158" i="3"/>
  <c r="K72" i="3"/>
  <c r="L72" i="3"/>
  <c r="M72" i="3"/>
  <c r="K86" i="3"/>
  <c r="L86" i="3"/>
  <c r="M86" i="3"/>
  <c r="K100" i="3"/>
  <c r="L100" i="3"/>
  <c r="M100" i="3"/>
  <c r="K129" i="3"/>
  <c r="L129" i="3"/>
  <c r="M129" i="3"/>
  <c r="K173" i="3"/>
  <c r="L173" i="3"/>
  <c r="M173" i="3"/>
  <c r="K87" i="3"/>
  <c r="L87" i="3"/>
  <c r="M87" i="3"/>
  <c r="K101" i="3"/>
  <c r="L101" i="3"/>
  <c r="M101" i="3"/>
  <c r="K114" i="3"/>
  <c r="L114" i="3"/>
  <c r="M114" i="3"/>
  <c r="K146" i="3"/>
  <c r="L146" i="3"/>
  <c r="M146" i="3"/>
  <c r="K191" i="3"/>
  <c r="L191" i="3"/>
  <c r="M191" i="3"/>
  <c r="K115" i="3"/>
  <c r="L115" i="3"/>
  <c r="M115" i="3"/>
  <c r="K130" i="3"/>
  <c r="L130" i="3"/>
  <c r="M130" i="3"/>
  <c r="K147" i="3"/>
  <c r="L147" i="3"/>
  <c r="M147" i="3"/>
  <c r="K174" i="3"/>
  <c r="L174" i="3"/>
  <c r="M174" i="3"/>
  <c r="K224" i="3"/>
  <c r="L224" i="3"/>
  <c r="M224" i="3"/>
  <c r="K159" i="3"/>
  <c r="L159" i="3"/>
  <c r="M159" i="3"/>
  <c r="K175" i="3"/>
  <c r="L175" i="3"/>
  <c r="M175" i="3"/>
  <c r="K192" i="3"/>
  <c r="L192" i="3"/>
  <c r="M192" i="3"/>
  <c r="K225" i="3"/>
  <c r="L225" i="3"/>
  <c r="M225" i="3"/>
  <c r="K275" i="3"/>
  <c r="L275" i="3"/>
  <c r="M275" i="3"/>
  <c r="K102" i="3"/>
  <c r="L102" i="3"/>
  <c r="M102" i="3"/>
  <c r="K116" i="3"/>
  <c r="L116" i="3"/>
  <c r="M116" i="3"/>
  <c r="K131" i="3"/>
  <c r="L131" i="3"/>
  <c r="M131" i="3"/>
  <c r="K160" i="3"/>
  <c r="L160" i="3"/>
  <c r="M160" i="3"/>
  <c r="K209" i="3"/>
  <c r="L209" i="3"/>
  <c r="M209" i="3"/>
  <c r="K260" i="3"/>
  <c r="L260" i="3"/>
  <c r="M260" i="3"/>
  <c r="K117" i="3"/>
  <c r="L117" i="3"/>
  <c r="M117" i="3"/>
  <c r="K132" i="3"/>
  <c r="L132" i="3"/>
  <c r="M132" i="3"/>
  <c r="K148" i="3"/>
  <c r="L148" i="3"/>
  <c r="M148" i="3"/>
  <c r="K176" i="3"/>
  <c r="L176" i="3"/>
  <c r="M176" i="3"/>
  <c r="K226" i="3"/>
  <c r="L226" i="3"/>
  <c r="M226" i="3"/>
  <c r="K276" i="3"/>
  <c r="L276" i="3"/>
  <c r="M276" i="3"/>
  <c r="K133" i="3"/>
  <c r="L133" i="3"/>
  <c r="M133" i="3"/>
  <c r="K149" i="3"/>
  <c r="L149" i="3"/>
  <c r="M149" i="3"/>
  <c r="K161" i="3"/>
  <c r="L161" i="3"/>
  <c r="M161" i="3"/>
  <c r="K193" i="3"/>
  <c r="L193" i="3"/>
  <c r="M193" i="3"/>
  <c r="K245" i="3"/>
  <c r="L245" i="3"/>
  <c r="M245" i="3"/>
  <c r="K302" i="3"/>
  <c r="L302" i="3"/>
  <c r="M302" i="3"/>
  <c r="K162" i="3"/>
  <c r="L162" i="3"/>
  <c r="M162" i="3"/>
  <c r="K177" i="3"/>
  <c r="L177" i="3"/>
  <c r="M177" i="3"/>
  <c r="K194" i="3"/>
  <c r="L194" i="3"/>
  <c r="M194" i="3"/>
  <c r="K227" i="3"/>
  <c r="L227" i="3"/>
  <c r="M227" i="3"/>
  <c r="K277" i="3"/>
  <c r="L277" i="3"/>
  <c r="M277" i="3"/>
  <c r="K338" i="3"/>
  <c r="L338" i="3"/>
  <c r="M338" i="3"/>
  <c r="K210" i="3"/>
  <c r="L210" i="3"/>
  <c r="M210" i="3"/>
  <c r="K228" i="3"/>
  <c r="L228" i="3"/>
  <c r="M228" i="3"/>
  <c r="K246" i="3"/>
  <c r="L246" i="3"/>
  <c r="M246" i="3"/>
  <c r="K278" i="3"/>
  <c r="L278" i="3"/>
  <c r="M278" i="3"/>
  <c r="K339" i="3"/>
  <c r="L339" i="3"/>
  <c r="M339" i="3"/>
  <c r="K392" i="3"/>
  <c r="L392" i="3"/>
  <c r="M392" i="3"/>
  <c r="K261" i="3"/>
  <c r="L261" i="3"/>
  <c r="M261" i="3"/>
  <c r="K279" i="3"/>
  <c r="L279" i="3"/>
  <c r="M279" i="3"/>
  <c r="K303" i="3"/>
  <c r="L303" i="3"/>
  <c r="M303" i="3"/>
  <c r="K340" i="3"/>
  <c r="L340" i="3"/>
  <c r="M340" i="3"/>
  <c r="K393" i="3"/>
  <c r="L393" i="3"/>
  <c r="M393" i="3"/>
  <c r="K452" i="3"/>
  <c r="L452" i="3"/>
  <c r="M452" i="3"/>
  <c r="K178" i="3"/>
  <c r="L178" i="3"/>
  <c r="M178" i="3"/>
  <c r="K195" i="3"/>
  <c r="L195" i="3"/>
  <c r="M195" i="3"/>
  <c r="K211" i="3"/>
  <c r="L211" i="3"/>
  <c r="M211" i="3"/>
  <c r="K247" i="3"/>
  <c r="L247" i="3"/>
  <c r="M247" i="3"/>
  <c r="K304" i="3"/>
  <c r="L304" i="3"/>
  <c r="M304" i="3"/>
  <c r="K362" i="3"/>
  <c r="L362" i="3"/>
  <c r="M362" i="3"/>
  <c r="K453" i="3"/>
  <c r="L453" i="3"/>
  <c r="M453" i="3"/>
  <c r="K196" i="3"/>
  <c r="L196" i="3"/>
  <c r="M196" i="3"/>
  <c r="K212" i="3"/>
  <c r="L212" i="3"/>
  <c r="M212" i="3"/>
  <c r="K229" i="3"/>
  <c r="L229" i="3"/>
  <c r="M229" i="3"/>
  <c r="K262" i="3"/>
  <c r="L262" i="3"/>
  <c r="M262" i="3"/>
  <c r="K323" i="3"/>
  <c r="L323" i="3"/>
  <c r="M323" i="3"/>
  <c r="K374" i="3"/>
  <c r="L374" i="3"/>
  <c r="M374" i="3"/>
  <c r="K473" i="3"/>
  <c r="L473" i="3"/>
  <c r="M473" i="3"/>
  <c r="K213" i="3"/>
  <c r="L213" i="3"/>
  <c r="M213" i="3"/>
  <c r="K230" i="3"/>
  <c r="L230" i="3"/>
  <c r="M230" i="3"/>
  <c r="K248" i="3"/>
  <c r="L248" i="3"/>
  <c r="M248" i="3"/>
  <c r="K280" i="3"/>
  <c r="L280" i="3"/>
  <c r="M280" i="3"/>
  <c r="K341" i="3"/>
  <c r="L341" i="3"/>
  <c r="M341" i="3"/>
  <c r="K394" i="3"/>
  <c r="L394" i="3"/>
  <c r="M394" i="3"/>
  <c r="K500" i="3"/>
  <c r="L500" i="3"/>
  <c r="M500" i="3"/>
  <c r="K249" i="3"/>
  <c r="L249" i="3"/>
  <c r="M249" i="3"/>
  <c r="K263" i="3"/>
  <c r="L263" i="3"/>
  <c r="M263" i="3"/>
  <c r="K281" i="3"/>
  <c r="L281" i="3"/>
  <c r="M281" i="3"/>
  <c r="K324" i="3"/>
  <c r="L324" i="3"/>
  <c r="M324" i="3"/>
  <c r="K375" i="3"/>
  <c r="L375" i="3"/>
  <c r="M375" i="3"/>
  <c r="K428" i="3"/>
  <c r="L428" i="3"/>
  <c r="M428" i="3"/>
  <c r="K530" i="3"/>
  <c r="L530" i="3"/>
  <c r="M530" i="3"/>
  <c r="K305" i="3"/>
  <c r="L305" i="3"/>
  <c r="M305" i="3"/>
  <c r="K325" i="3"/>
  <c r="L325" i="3"/>
  <c r="M325" i="3"/>
  <c r="K342" i="3"/>
  <c r="L342" i="3"/>
  <c r="M342" i="3"/>
  <c r="K376" i="3"/>
  <c r="L376" i="3"/>
  <c r="M376" i="3"/>
  <c r="K429" i="3"/>
  <c r="L429" i="3"/>
  <c r="M429" i="3"/>
  <c r="K501" i="3"/>
  <c r="L501" i="3"/>
  <c r="M501" i="3"/>
  <c r="K599" i="3"/>
  <c r="L599" i="3"/>
  <c r="M599" i="3"/>
  <c r="K363" i="3"/>
  <c r="L363" i="3"/>
  <c r="M363" i="3"/>
  <c r="K377" i="3"/>
  <c r="L377" i="3"/>
  <c r="M377" i="3"/>
  <c r="K395" i="3"/>
  <c r="L395" i="3"/>
  <c r="M395" i="3"/>
  <c r="K430" i="3"/>
  <c r="L430" i="3"/>
  <c r="M430" i="3"/>
  <c r="K502" i="3"/>
  <c r="L502" i="3"/>
  <c r="M502" i="3"/>
  <c r="K554" i="3"/>
  <c r="L554" i="3"/>
  <c r="M554" i="3"/>
  <c r="K668" i="3"/>
  <c r="L668" i="3"/>
  <c r="M668" i="3"/>
  <c r="K454" i="3"/>
  <c r="L454" i="3"/>
  <c r="M454" i="3"/>
  <c r="K474" i="3"/>
  <c r="L474" i="3"/>
  <c r="M474" i="3"/>
  <c r="K503" i="3"/>
  <c r="L503" i="3"/>
  <c r="M503" i="3"/>
  <c r="K531" i="3"/>
  <c r="L531" i="3"/>
  <c r="M531" i="3"/>
  <c r="K600" i="3"/>
  <c r="L600" i="3"/>
  <c r="M600" i="3"/>
  <c r="K669" i="3"/>
  <c r="L669" i="3"/>
  <c r="M669" i="3"/>
  <c r="K773" i="3"/>
  <c r="L773" i="3"/>
  <c r="M773" i="3"/>
  <c r="K264" i="3"/>
  <c r="L264" i="3"/>
  <c r="M264" i="3"/>
  <c r="K282" i="3"/>
  <c r="L282" i="3"/>
  <c r="M282" i="3"/>
  <c r="K306" i="3"/>
  <c r="L306" i="3"/>
  <c r="M306" i="3"/>
  <c r="K343" i="3"/>
  <c r="L343" i="3"/>
  <c r="M343" i="3"/>
  <c r="K396" i="3"/>
  <c r="L396" i="3"/>
  <c r="M396" i="3"/>
  <c r="K455" i="3"/>
  <c r="L455" i="3"/>
  <c r="M455" i="3"/>
  <c r="K555" i="3"/>
  <c r="L555" i="3"/>
  <c r="M555" i="3"/>
  <c r="K670" i="3"/>
  <c r="L670" i="3"/>
  <c r="M670" i="3"/>
  <c r="K283" i="3"/>
  <c r="L283" i="3"/>
  <c r="M283" i="3"/>
  <c r="K307" i="3"/>
  <c r="L307" i="3"/>
  <c r="M307" i="3"/>
  <c r="K326" i="3"/>
  <c r="L326" i="3"/>
  <c r="M326" i="3"/>
  <c r="K364" i="3"/>
  <c r="L364" i="3"/>
  <c r="M364" i="3"/>
  <c r="K413" i="3"/>
  <c r="L413" i="3"/>
  <c r="M413" i="3"/>
  <c r="K475" i="3"/>
  <c r="L475" i="3"/>
  <c r="M475" i="3"/>
  <c r="K578" i="3"/>
  <c r="L578" i="3"/>
  <c r="M578" i="3"/>
  <c r="K689" i="3"/>
  <c r="L689" i="3"/>
  <c r="M689" i="3"/>
  <c r="K308" i="3"/>
  <c r="L308" i="3"/>
  <c r="M308" i="3"/>
  <c r="K327" i="3"/>
  <c r="L327" i="3"/>
  <c r="M327" i="3"/>
  <c r="K344" i="3"/>
  <c r="L344" i="3"/>
  <c r="M344" i="3"/>
  <c r="K378" i="3"/>
  <c r="L378" i="3"/>
  <c r="M378" i="3"/>
  <c r="K431" i="3"/>
  <c r="L431" i="3"/>
  <c r="M431" i="3"/>
  <c r="K504" i="3"/>
  <c r="L504" i="3"/>
  <c r="M504" i="3"/>
  <c r="K601" i="3"/>
  <c r="L601" i="3"/>
  <c r="M601" i="3"/>
  <c r="K710" i="3"/>
  <c r="L710" i="3"/>
  <c r="M710" i="3"/>
  <c r="K345" i="3"/>
  <c r="L345" i="3"/>
  <c r="M345" i="3"/>
  <c r="K365" i="3"/>
  <c r="L365" i="3"/>
  <c r="M365" i="3"/>
  <c r="K379" i="3"/>
  <c r="L379" i="3"/>
  <c r="M379" i="3"/>
  <c r="K414" i="3"/>
  <c r="L414" i="3"/>
  <c r="M414" i="3"/>
  <c r="K476" i="3"/>
  <c r="L476" i="3"/>
  <c r="M476" i="3"/>
  <c r="K532" i="3"/>
  <c r="L532" i="3"/>
  <c r="M532" i="3"/>
  <c r="K650" i="3"/>
  <c r="L650" i="3"/>
  <c r="M650" i="3"/>
  <c r="K749" i="3"/>
  <c r="L749" i="3"/>
  <c r="M749" i="3"/>
  <c r="K397" i="3"/>
  <c r="L397" i="3"/>
  <c r="M397" i="3"/>
  <c r="K415" i="3"/>
  <c r="L415" i="3"/>
  <c r="M415" i="3"/>
  <c r="K432" i="3"/>
  <c r="L432" i="3"/>
  <c r="M432" i="3"/>
  <c r="K477" i="3"/>
  <c r="L477" i="3"/>
  <c r="M477" i="3"/>
  <c r="K533" i="3"/>
  <c r="L533" i="3"/>
  <c r="M533" i="3"/>
  <c r="K602" i="3"/>
  <c r="L602" i="3"/>
  <c r="M602" i="3"/>
  <c r="K711" i="3"/>
  <c r="L711" i="3"/>
  <c r="M711" i="3"/>
  <c r="K806" i="3"/>
  <c r="L806" i="3"/>
  <c r="M806" i="3"/>
  <c r="K456" i="3"/>
  <c r="L456" i="3"/>
  <c r="M456" i="3"/>
  <c r="K478" i="3"/>
  <c r="L478" i="3"/>
  <c r="M478" i="3"/>
  <c r="K505" i="3"/>
  <c r="L505" i="3"/>
  <c r="M505" i="3"/>
  <c r="K534" i="3"/>
  <c r="L534" i="3"/>
  <c r="M534" i="3"/>
  <c r="K603" i="3"/>
  <c r="L603" i="3"/>
  <c r="M603" i="3"/>
  <c r="K671" i="3"/>
  <c r="L671" i="3"/>
  <c r="M671" i="3"/>
  <c r="K774" i="3"/>
  <c r="L774" i="3"/>
  <c r="M774" i="3"/>
  <c r="K854" i="3"/>
  <c r="L854" i="3"/>
  <c r="M854" i="3"/>
  <c r="K556" i="3"/>
  <c r="L556" i="3"/>
  <c r="M556" i="3"/>
  <c r="K579" i="3"/>
  <c r="L579" i="3"/>
  <c r="M579" i="3"/>
  <c r="K604" i="3"/>
  <c r="L604" i="3"/>
  <c r="M604" i="3"/>
  <c r="K651" i="3"/>
  <c r="L651" i="3"/>
  <c r="M651" i="3"/>
  <c r="K712" i="3"/>
  <c r="L712" i="3"/>
  <c r="M712" i="3"/>
  <c r="K775" i="3"/>
  <c r="L775" i="3"/>
  <c r="M775" i="3"/>
  <c r="K855" i="3"/>
  <c r="L855" i="3"/>
  <c r="M855" i="3"/>
  <c r="K920" i="3"/>
  <c r="L920" i="3"/>
  <c r="M920" i="3"/>
  <c r="K672" i="3"/>
  <c r="L672" i="3"/>
  <c r="M672" i="3"/>
  <c r="K690" i="3"/>
  <c r="L690" i="3"/>
  <c r="M690" i="3"/>
  <c r="K713" i="3"/>
  <c r="L713" i="3"/>
  <c r="M713" i="3"/>
  <c r="K750" i="3"/>
  <c r="L750" i="3"/>
  <c r="M750" i="3"/>
  <c r="K807" i="3"/>
  <c r="L807" i="3"/>
  <c r="M807" i="3"/>
  <c r="K856" i="3"/>
  <c r="L856" i="3"/>
  <c r="M856" i="3"/>
  <c r="K921" i="3"/>
  <c r="L921" i="3"/>
  <c r="M921" i="3"/>
  <c r="K983" i="3"/>
  <c r="L983" i="3"/>
  <c r="M983" i="3"/>
  <c r="K398" i="3"/>
  <c r="L398" i="3"/>
  <c r="M398" i="3"/>
  <c r="K416" i="3"/>
  <c r="L416" i="3"/>
  <c r="M416" i="3"/>
  <c r="K433" i="3"/>
  <c r="L433" i="3"/>
  <c r="M433" i="3"/>
  <c r="K479" i="3"/>
  <c r="L479" i="3"/>
  <c r="M479" i="3"/>
  <c r="K535" i="3"/>
  <c r="L535" i="3"/>
  <c r="M535" i="3"/>
  <c r="K605" i="3"/>
  <c r="L605" i="3"/>
  <c r="M605" i="3"/>
  <c r="K714" i="3"/>
  <c r="L714" i="3"/>
  <c r="M714" i="3"/>
  <c r="K808" i="3"/>
  <c r="L808" i="3"/>
  <c r="M808" i="3"/>
  <c r="K899" i="3"/>
  <c r="L899" i="3"/>
  <c r="M899" i="3"/>
  <c r="K417" i="3"/>
  <c r="L417" i="3"/>
  <c r="M417" i="3"/>
  <c r="K434" i="3"/>
  <c r="L434" i="3"/>
  <c r="M434" i="3"/>
  <c r="K457" i="3"/>
  <c r="L457" i="3"/>
  <c r="M457" i="3"/>
  <c r="K506" i="3"/>
  <c r="L506" i="3"/>
  <c r="M506" i="3"/>
  <c r="K557" i="3"/>
  <c r="L557" i="3"/>
  <c r="M557" i="3"/>
  <c r="K629" i="3"/>
  <c r="L629" i="3"/>
  <c r="M629" i="3"/>
  <c r="K737" i="3"/>
  <c r="L737" i="3"/>
  <c r="M737" i="3"/>
  <c r="K821" i="3"/>
  <c r="L821" i="3"/>
  <c r="M821" i="3"/>
  <c r="K922" i="3"/>
  <c r="L922" i="3"/>
  <c r="M922" i="3"/>
  <c r="K435" i="3"/>
  <c r="L435" i="3"/>
  <c r="M435" i="3"/>
  <c r="K458" i="3"/>
  <c r="L458" i="3"/>
  <c r="M458" i="3"/>
  <c r="K480" i="3"/>
  <c r="L480" i="3"/>
  <c r="M480" i="3"/>
  <c r="K524" i="3"/>
  <c r="L524" i="3"/>
  <c r="M524" i="3"/>
  <c r="K580" i="3"/>
  <c r="L580" i="3"/>
  <c r="M580" i="3"/>
  <c r="K652" i="3"/>
  <c r="L652" i="3"/>
  <c r="M652" i="3"/>
  <c r="K751" i="3"/>
  <c r="L751" i="3"/>
  <c r="M751" i="3"/>
  <c r="K836" i="3"/>
  <c r="L836" i="3"/>
  <c r="M836" i="3"/>
  <c r="K938" i="3"/>
  <c r="L938" i="3"/>
  <c r="M938" i="3"/>
  <c r="K481" i="3"/>
  <c r="L481" i="3"/>
  <c r="M481" i="3"/>
  <c r="K507" i="3"/>
  <c r="L507" i="3"/>
  <c r="M507" i="3"/>
  <c r="K525" i="3"/>
  <c r="L525" i="3"/>
  <c r="M525" i="3"/>
  <c r="K558" i="3"/>
  <c r="L558" i="3"/>
  <c r="M558" i="3"/>
  <c r="K630" i="3"/>
  <c r="L630" i="3"/>
  <c r="M630" i="3"/>
  <c r="K691" i="3"/>
  <c r="L691" i="3"/>
  <c r="M691" i="3"/>
  <c r="K794" i="3"/>
  <c r="L794" i="3"/>
  <c r="M794" i="3"/>
  <c r="K869" i="3"/>
  <c r="L869" i="3"/>
  <c r="M869" i="3"/>
  <c r="K965" i="3"/>
  <c r="L965" i="3"/>
  <c r="M965" i="3"/>
  <c r="K536" i="3"/>
  <c r="L536" i="3"/>
  <c r="M536" i="3"/>
  <c r="K559" i="3"/>
  <c r="L559" i="3"/>
  <c r="M559" i="3"/>
  <c r="K581" i="3"/>
  <c r="L581" i="3"/>
  <c r="M581" i="3"/>
  <c r="K631" i="3"/>
  <c r="L631" i="3"/>
  <c r="M631" i="3"/>
  <c r="K692" i="3"/>
  <c r="L692" i="3"/>
  <c r="M692" i="3"/>
  <c r="K752" i="3"/>
  <c r="L752" i="3"/>
  <c r="M752" i="3"/>
  <c r="K837" i="3"/>
  <c r="L837" i="3"/>
  <c r="M837" i="3"/>
  <c r="K900" i="3"/>
  <c r="L900" i="3"/>
  <c r="M900" i="3"/>
  <c r="K986" i="3"/>
  <c r="L986" i="3"/>
  <c r="M986" i="3"/>
  <c r="K606" i="3"/>
  <c r="L606" i="3"/>
  <c r="M606" i="3"/>
  <c r="K632" i="3"/>
  <c r="L632" i="3"/>
  <c r="M632" i="3"/>
  <c r="K653" i="3"/>
  <c r="L653" i="3"/>
  <c r="M653" i="3"/>
  <c r="K693" i="3"/>
  <c r="L693" i="3"/>
  <c r="M693" i="3"/>
  <c r="K753" i="3"/>
  <c r="L753" i="3"/>
  <c r="M753" i="3"/>
  <c r="K809" i="3"/>
  <c r="L809" i="3"/>
  <c r="M809" i="3"/>
  <c r="K887" i="3"/>
  <c r="L887" i="3"/>
  <c r="M887" i="3"/>
  <c r="K956" i="3"/>
  <c r="L956" i="3"/>
  <c r="M956" i="3"/>
  <c r="K1022" i="3"/>
  <c r="L1022" i="3"/>
  <c r="M1022" i="3"/>
  <c r="K715" i="3"/>
  <c r="L715" i="3"/>
  <c r="M715" i="3"/>
  <c r="K738" i="3"/>
  <c r="L738" i="3"/>
  <c r="M738" i="3"/>
  <c r="K754" i="3"/>
  <c r="L754" i="3"/>
  <c r="M754" i="3"/>
  <c r="K795" i="3"/>
  <c r="L795" i="3"/>
  <c r="M795" i="3"/>
  <c r="K838" i="3"/>
  <c r="L838" i="3"/>
  <c r="M838" i="3"/>
  <c r="K888" i="3"/>
  <c r="L888" i="3"/>
  <c r="M888" i="3"/>
  <c r="K957" i="3"/>
  <c r="L957" i="3"/>
  <c r="M957" i="3"/>
  <c r="K1004" i="3"/>
  <c r="L1004" i="3"/>
  <c r="M1004" i="3"/>
  <c r="K1058" i="3"/>
  <c r="L1058" i="3"/>
  <c r="M1058" i="3"/>
  <c r="K810" i="3"/>
  <c r="L810" i="3"/>
  <c r="M810" i="3"/>
  <c r="K822" i="3"/>
  <c r="L822" i="3"/>
  <c r="M822" i="3"/>
  <c r="K839" i="3"/>
  <c r="L839" i="3"/>
  <c r="M839" i="3"/>
  <c r="K870" i="3"/>
  <c r="L870" i="3"/>
  <c r="M870" i="3"/>
  <c r="K901" i="3"/>
  <c r="L901" i="3"/>
  <c r="M901" i="3"/>
  <c r="K958" i="3"/>
  <c r="L958" i="3"/>
  <c r="M958" i="3"/>
  <c r="K1005" i="3"/>
  <c r="L1005" i="3"/>
  <c r="M1005" i="3"/>
  <c r="K1043" i="3"/>
  <c r="L1043" i="3"/>
  <c r="M1043" i="3"/>
  <c r="K1094" i="3"/>
  <c r="L1094" i="3"/>
  <c r="M1094" i="3"/>
  <c r="K902" i="3"/>
  <c r="L902" i="3"/>
  <c r="M902" i="3"/>
  <c r="K923" i="3"/>
  <c r="L923" i="3"/>
  <c r="M923" i="3"/>
  <c r="K939" i="3"/>
  <c r="L939" i="3"/>
  <c r="M939" i="3"/>
  <c r="K966" i="3"/>
  <c r="L966" i="3"/>
  <c r="M966" i="3"/>
  <c r="K987" i="3"/>
  <c r="L987" i="3"/>
  <c r="M987" i="3"/>
  <c r="K1023" i="3"/>
  <c r="L1023" i="3"/>
  <c r="M1023" i="3"/>
  <c r="K1059" i="3"/>
  <c r="L1059" i="3"/>
  <c r="M1059" i="3"/>
  <c r="K1095" i="3"/>
  <c r="L1095" i="3"/>
  <c r="M1095" i="3"/>
  <c r="K1121" i="3"/>
  <c r="L1121" i="3"/>
  <c r="M1121" i="3"/>
  <c r="K537" i="3"/>
  <c r="L537" i="3"/>
  <c r="M537" i="3"/>
  <c r="K560" i="3"/>
  <c r="L560" i="3"/>
  <c r="M560" i="3"/>
  <c r="K582" i="3"/>
  <c r="L582" i="3"/>
  <c r="M582" i="3"/>
  <c r="K633" i="3"/>
  <c r="L633" i="3"/>
  <c r="M633" i="3"/>
  <c r="K694" i="3"/>
  <c r="L694" i="3"/>
  <c r="M694" i="3"/>
  <c r="K755" i="3"/>
  <c r="L755" i="3"/>
  <c r="M755" i="3"/>
  <c r="K840" i="3"/>
  <c r="L840" i="3"/>
  <c r="M840" i="3"/>
  <c r="K903" i="3"/>
  <c r="L903" i="3"/>
  <c r="M903" i="3"/>
  <c r="K988" i="3"/>
  <c r="L988" i="3"/>
  <c r="M988" i="3"/>
  <c r="K1046" i="3"/>
  <c r="L1046" i="3"/>
  <c r="M1046" i="3"/>
  <c r="K561" i="3"/>
  <c r="L561" i="3"/>
  <c r="M561" i="3"/>
  <c r="K583" i="3"/>
  <c r="L583" i="3"/>
  <c r="M583" i="3"/>
  <c r="K607" i="3"/>
  <c r="L607" i="3"/>
  <c r="M607" i="3"/>
  <c r="K654" i="3"/>
  <c r="L654" i="3"/>
  <c r="M654" i="3"/>
  <c r="K716" i="3"/>
  <c r="L716" i="3"/>
  <c r="M716" i="3"/>
  <c r="K776" i="3"/>
  <c r="L776" i="3"/>
  <c r="M776" i="3"/>
  <c r="K857" i="3"/>
  <c r="L857" i="3"/>
  <c r="M857" i="3"/>
  <c r="K924" i="3"/>
  <c r="L924" i="3"/>
  <c r="M924" i="3"/>
  <c r="K1006" i="3"/>
  <c r="L1006" i="3"/>
  <c r="M1006" i="3"/>
  <c r="K1060" i="3"/>
  <c r="L1060" i="3"/>
  <c r="M1060" i="3"/>
  <c r="K584" i="3"/>
  <c r="L584" i="3"/>
  <c r="M584" i="3"/>
  <c r="K608" i="3"/>
  <c r="L608" i="3"/>
  <c r="M608" i="3"/>
  <c r="K634" i="3"/>
  <c r="L634" i="3"/>
  <c r="M634" i="3"/>
  <c r="K673" i="3"/>
  <c r="L673" i="3"/>
  <c r="M673" i="3"/>
  <c r="K739" i="3"/>
  <c r="L739" i="3"/>
  <c r="M739" i="3"/>
  <c r="K796" i="3"/>
  <c r="L796" i="3"/>
  <c r="M796" i="3"/>
  <c r="K871" i="3"/>
  <c r="L871" i="3"/>
  <c r="M871" i="3"/>
  <c r="K940" i="3"/>
  <c r="L940" i="3"/>
  <c r="M940" i="3"/>
  <c r="K1016" i="3"/>
  <c r="L1016" i="3"/>
  <c r="M1016" i="3"/>
  <c r="K1076" i="3"/>
  <c r="L1076" i="3"/>
  <c r="M1076" i="3"/>
  <c r="K635" i="3"/>
  <c r="L635" i="3"/>
  <c r="M635" i="3"/>
  <c r="K655" i="3"/>
  <c r="L655" i="3"/>
  <c r="M655" i="3"/>
  <c r="K674" i="3"/>
  <c r="L674" i="3"/>
  <c r="M674" i="3"/>
  <c r="K717" i="3"/>
  <c r="L717" i="3"/>
  <c r="M717" i="3"/>
  <c r="K777" i="3"/>
  <c r="L777" i="3"/>
  <c r="M777" i="3"/>
  <c r="K823" i="3"/>
  <c r="L823" i="3"/>
  <c r="M823" i="3"/>
  <c r="K893" i="3"/>
  <c r="L893" i="3"/>
  <c r="M893" i="3"/>
  <c r="K967" i="3"/>
  <c r="L967" i="3"/>
  <c r="M967" i="3"/>
  <c r="K1037" i="3"/>
  <c r="L1037" i="3"/>
  <c r="M1037" i="3"/>
  <c r="K1088" i="3"/>
  <c r="L1088" i="3"/>
  <c r="M1088" i="3"/>
  <c r="K695" i="3"/>
  <c r="L695" i="3"/>
  <c r="M695" i="3"/>
  <c r="K718" i="3"/>
  <c r="L718" i="3"/>
  <c r="M718" i="3"/>
  <c r="K740" i="3"/>
  <c r="L740" i="3"/>
  <c r="M740" i="3"/>
  <c r="K778" i="3"/>
  <c r="L778" i="3"/>
  <c r="M778" i="3"/>
  <c r="K824" i="3"/>
  <c r="L824" i="3"/>
  <c r="M824" i="3"/>
  <c r="K872" i="3"/>
  <c r="L872" i="3"/>
  <c r="M872" i="3"/>
  <c r="K941" i="3"/>
  <c r="L941" i="3"/>
  <c r="M941" i="3"/>
  <c r="K989" i="3"/>
  <c r="L989" i="3"/>
  <c r="M989" i="3"/>
  <c r="K1047" i="3"/>
  <c r="L1047" i="3"/>
  <c r="M1047" i="3"/>
  <c r="K1103" i="3"/>
  <c r="L1103" i="3"/>
  <c r="M1103" i="3"/>
  <c r="K756" i="3"/>
  <c r="L756" i="3"/>
  <c r="M756" i="3"/>
  <c r="K779" i="3"/>
  <c r="L779" i="3"/>
  <c r="M779" i="3"/>
  <c r="K797" i="3"/>
  <c r="L797" i="3"/>
  <c r="M797" i="3"/>
  <c r="K825" i="3"/>
  <c r="L825" i="3"/>
  <c r="M825" i="3"/>
  <c r="K873" i="3"/>
  <c r="L873" i="3"/>
  <c r="M873" i="3"/>
  <c r="K904" i="3"/>
  <c r="L904" i="3"/>
  <c r="M904" i="3"/>
  <c r="K977" i="3"/>
  <c r="L977" i="3"/>
  <c r="M977" i="3"/>
  <c r="K1024" i="3"/>
  <c r="L1024" i="3"/>
  <c r="M1024" i="3"/>
  <c r="K1082" i="3"/>
  <c r="L1082" i="3"/>
  <c r="M1082" i="3"/>
  <c r="K1115" i="3"/>
  <c r="L1115" i="3"/>
  <c r="M1115" i="3"/>
  <c r="K841" i="3"/>
  <c r="L841" i="3"/>
  <c r="M841" i="3"/>
  <c r="K858" i="3"/>
  <c r="L858" i="3"/>
  <c r="M858" i="3"/>
  <c r="K874" i="3"/>
  <c r="L874" i="3"/>
  <c r="M874" i="3"/>
  <c r="K894" i="3"/>
  <c r="L894" i="3"/>
  <c r="M894" i="3"/>
  <c r="K942" i="3"/>
  <c r="L942" i="3"/>
  <c r="M942" i="3"/>
  <c r="K978" i="3"/>
  <c r="L978" i="3"/>
  <c r="M978" i="3"/>
  <c r="K1025" i="3"/>
  <c r="L1025" i="3"/>
  <c r="M1025" i="3"/>
  <c r="K1061" i="3"/>
  <c r="L1061" i="3"/>
  <c r="M1061" i="3"/>
  <c r="K1109" i="3"/>
  <c r="L1109" i="3"/>
  <c r="M1109" i="3"/>
  <c r="K1130" i="3"/>
  <c r="L1130" i="3"/>
  <c r="M1130" i="3"/>
  <c r="K905" i="3"/>
  <c r="L905" i="3"/>
  <c r="M905" i="3"/>
  <c r="K925" i="3"/>
  <c r="L925" i="3"/>
  <c r="M925" i="3"/>
  <c r="K943" i="3"/>
  <c r="L943" i="3"/>
  <c r="M943" i="3"/>
  <c r="K968" i="3"/>
  <c r="L968" i="3"/>
  <c r="M968" i="3"/>
  <c r="K990" i="3"/>
  <c r="L990" i="3"/>
  <c r="M990" i="3"/>
  <c r="K1026" i="3"/>
  <c r="L1026" i="3"/>
  <c r="M1026" i="3"/>
  <c r="K1062" i="3"/>
  <c r="L1062" i="3"/>
  <c r="M1062" i="3"/>
  <c r="K1096" i="3"/>
  <c r="L1096" i="3"/>
  <c r="M1096" i="3"/>
  <c r="K1122" i="3"/>
  <c r="L1122" i="3"/>
  <c r="M1122" i="3"/>
  <c r="K1136" i="3"/>
  <c r="L1136" i="3"/>
  <c r="M1136" i="3"/>
  <c r="K991" i="3"/>
  <c r="L991" i="3"/>
  <c r="M991" i="3"/>
  <c r="K1007" i="3"/>
  <c r="L1007" i="3"/>
  <c r="M1007" i="3"/>
  <c r="K1017" i="3"/>
  <c r="L1017" i="3"/>
  <c r="M1017" i="3"/>
  <c r="K1038" i="3"/>
  <c r="L1038" i="3"/>
  <c r="M1038" i="3"/>
  <c r="K1048" i="3"/>
  <c r="L1048" i="3"/>
  <c r="M1048" i="3"/>
  <c r="K1083" i="3"/>
  <c r="L1083" i="3"/>
  <c r="M1083" i="3"/>
  <c r="K1110" i="3"/>
  <c r="L1110" i="3"/>
  <c r="M1110" i="3"/>
  <c r="K1123" i="3"/>
  <c r="L1123" i="3"/>
  <c r="M1123" i="3"/>
  <c r="K1137" i="3"/>
  <c r="L1137" i="3"/>
  <c r="M1137" i="3"/>
  <c r="K1145" i="3"/>
  <c r="L1145" i="3"/>
  <c r="M1145" i="3"/>
  <c r="K1049" i="3"/>
  <c r="L1049" i="3"/>
  <c r="M1049" i="3"/>
  <c r="K1063" i="3"/>
  <c r="L1063" i="3"/>
  <c r="M1063" i="3"/>
  <c r="K1077" i="3"/>
  <c r="L1077" i="3"/>
  <c r="M1077" i="3"/>
  <c r="K1089" i="3"/>
  <c r="L1089" i="3"/>
  <c r="M1089" i="3"/>
  <c r="K1104" i="3"/>
  <c r="L1104" i="3"/>
  <c r="M1104" i="3"/>
  <c r="K1116" i="3"/>
  <c r="L1116" i="3"/>
  <c r="M1116" i="3"/>
  <c r="K1131" i="3"/>
  <c r="L1131" i="3"/>
  <c r="M1131" i="3"/>
  <c r="K1138" i="3"/>
  <c r="L1138" i="3"/>
  <c r="M1138" i="3"/>
  <c r="K1146" i="3"/>
  <c r="L1146" i="3"/>
  <c r="M1146" i="3"/>
  <c r="K1151" i="3"/>
  <c r="L1151" i="3"/>
  <c r="M1151" i="3"/>
  <c r="K8" i="3"/>
  <c r="L8" i="3"/>
  <c r="M8" i="3"/>
  <c r="K14" i="3"/>
  <c r="L14" i="3"/>
  <c r="M14" i="3"/>
  <c r="K9" i="3"/>
  <c r="L9" i="3"/>
  <c r="M9" i="3"/>
  <c r="K15" i="3"/>
  <c r="L15" i="3"/>
  <c r="M15" i="3"/>
  <c r="K23" i="3"/>
  <c r="L23" i="3"/>
  <c r="M23" i="3"/>
  <c r="K16" i="3"/>
  <c r="L16" i="3"/>
  <c r="M16" i="3"/>
  <c r="K24" i="3"/>
  <c r="L24" i="3"/>
  <c r="M24" i="3"/>
  <c r="K35" i="3"/>
  <c r="L35" i="3"/>
  <c r="M35" i="3"/>
  <c r="K25" i="3"/>
  <c r="L25" i="3"/>
  <c r="M25" i="3"/>
  <c r="K36" i="3"/>
  <c r="L36" i="3"/>
  <c r="M36" i="3"/>
  <c r="K47" i="3"/>
  <c r="L47" i="3"/>
  <c r="M47" i="3"/>
  <c r="K26" i="3"/>
  <c r="L26" i="3"/>
  <c r="M26" i="3"/>
  <c r="K37" i="3"/>
  <c r="L37" i="3"/>
  <c r="M37" i="3"/>
  <c r="K48" i="3"/>
  <c r="L48" i="3"/>
  <c r="M48" i="3"/>
  <c r="K68" i="3"/>
  <c r="L68" i="3"/>
  <c r="M68" i="3"/>
  <c r="K38" i="3"/>
  <c r="L38" i="3"/>
  <c r="M38" i="3"/>
  <c r="K49" i="3"/>
  <c r="L49" i="3"/>
  <c r="M49" i="3"/>
  <c r="K59" i="3"/>
  <c r="L59" i="3"/>
  <c r="M59" i="3"/>
  <c r="K83" i="3"/>
  <c r="L83" i="3"/>
  <c r="M83" i="3"/>
  <c r="K2" i="3"/>
  <c r="L2" i="3"/>
  <c r="M2" i="3"/>
  <c r="M5" i="3"/>
  <c r="L5" i="3"/>
  <c r="G2" i="3"/>
  <c r="H2" i="3"/>
  <c r="I2" i="3"/>
  <c r="G85" i="3"/>
  <c r="H85" i="3"/>
  <c r="I85" i="3"/>
  <c r="G113" i="3"/>
  <c r="H113" i="3"/>
  <c r="I113" i="3"/>
  <c r="G158" i="3"/>
  <c r="H158" i="3"/>
  <c r="I158" i="3"/>
  <c r="G72" i="3"/>
  <c r="H72" i="3"/>
  <c r="I72" i="3"/>
  <c r="G86" i="3"/>
  <c r="H86" i="3"/>
  <c r="I86" i="3"/>
  <c r="G100" i="3"/>
  <c r="H100" i="3"/>
  <c r="I100" i="3"/>
  <c r="G129" i="3"/>
  <c r="H129" i="3"/>
  <c r="I129" i="3"/>
  <c r="G173" i="3"/>
  <c r="H173" i="3"/>
  <c r="I173" i="3"/>
  <c r="G87" i="3"/>
  <c r="H87" i="3"/>
  <c r="I87" i="3"/>
  <c r="G101" i="3"/>
  <c r="H101" i="3"/>
  <c r="I101" i="3"/>
  <c r="G114" i="3"/>
  <c r="H114" i="3"/>
  <c r="I114" i="3"/>
  <c r="G146" i="3"/>
  <c r="H146" i="3"/>
  <c r="I146" i="3"/>
  <c r="G191" i="3"/>
  <c r="H191" i="3"/>
  <c r="I191" i="3"/>
  <c r="G115" i="3"/>
  <c r="H115" i="3"/>
  <c r="I115" i="3"/>
  <c r="G130" i="3"/>
  <c r="H130" i="3"/>
  <c r="I130" i="3"/>
  <c r="G147" i="3"/>
  <c r="H147" i="3"/>
  <c r="I147" i="3"/>
  <c r="G174" i="3"/>
  <c r="H174" i="3"/>
  <c r="I174" i="3"/>
  <c r="G224" i="3"/>
  <c r="H224" i="3"/>
  <c r="I224" i="3"/>
  <c r="G159" i="3"/>
  <c r="H159" i="3"/>
  <c r="I159" i="3"/>
  <c r="G175" i="3"/>
  <c r="H175" i="3"/>
  <c r="I175" i="3"/>
  <c r="G192" i="3"/>
  <c r="H192" i="3"/>
  <c r="I192" i="3"/>
  <c r="G225" i="3"/>
  <c r="H225" i="3"/>
  <c r="I225" i="3"/>
  <c r="G275" i="3"/>
  <c r="H275" i="3"/>
  <c r="I275" i="3"/>
  <c r="G102" i="3"/>
  <c r="H102" i="3"/>
  <c r="I102" i="3"/>
  <c r="G116" i="3"/>
  <c r="H116" i="3"/>
  <c r="I116" i="3"/>
  <c r="G131" i="3"/>
  <c r="H131" i="3"/>
  <c r="I131" i="3"/>
  <c r="G160" i="3"/>
  <c r="H160" i="3"/>
  <c r="I160" i="3"/>
  <c r="G209" i="3"/>
  <c r="H209" i="3"/>
  <c r="I209" i="3"/>
  <c r="G260" i="3"/>
  <c r="H260" i="3"/>
  <c r="I260" i="3"/>
  <c r="G117" i="3"/>
  <c r="H117" i="3"/>
  <c r="I117" i="3"/>
  <c r="G132" i="3"/>
  <c r="H132" i="3"/>
  <c r="I132" i="3"/>
  <c r="G148" i="3"/>
  <c r="H148" i="3"/>
  <c r="I148" i="3"/>
  <c r="G176" i="3"/>
  <c r="H176" i="3"/>
  <c r="I176" i="3"/>
  <c r="G226" i="3"/>
  <c r="H226" i="3"/>
  <c r="I226" i="3"/>
  <c r="G276" i="3"/>
  <c r="H276" i="3"/>
  <c r="I276" i="3"/>
  <c r="G133" i="3"/>
  <c r="H133" i="3"/>
  <c r="I133" i="3"/>
  <c r="G149" i="3"/>
  <c r="H149" i="3"/>
  <c r="I149" i="3"/>
  <c r="G161" i="3"/>
  <c r="H161" i="3"/>
  <c r="I161" i="3"/>
  <c r="G193" i="3"/>
  <c r="H193" i="3"/>
  <c r="I193" i="3"/>
  <c r="G245" i="3"/>
  <c r="H245" i="3"/>
  <c r="I245" i="3"/>
  <c r="G302" i="3"/>
  <c r="H302" i="3"/>
  <c r="I302" i="3"/>
  <c r="G162" i="3"/>
  <c r="H162" i="3"/>
  <c r="I162" i="3"/>
  <c r="G177" i="3"/>
  <c r="H177" i="3"/>
  <c r="I177" i="3"/>
  <c r="G194" i="3"/>
  <c r="H194" i="3"/>
  <c r="I194" i="3"/>
  <c r="G227" i="3"/>
  <c r="H227" i="3"/>
  <c r="I227" i="3"/>
  <c r="G277" i="3"/>
  <c r="H277" i="3"/>
  <c r="I277" i="3"/>
  <c r="G338" i="3"/>
  <c r="H338" i="3"/>
  <c r="I338" i="3"/>
  <c r="G210" i="3"/>
  <c r="H210" i="3"/>
  <c r="I210" i="3"/>
  <c r="G228" i="3"/>
  <c r="H228" i="3"/>
  <c r="I228" i="3"/>
  <c r="G246" i="3"/>
  <c r="H246" i="3"/>
  <c r="I246" i="3"/>
  <c r="G278" i="3"/>
  <c r="H278" i="3"/>
  <c r="I278" i="3"/>
  <c r="G339" i="3"/>
  <c r="H339" i="3"/>
  <c r="I339" i="3"/>
  <c r="G392" i="3"/>
  <c r="H392" i="3"/>
  <c r="I392" i="3"/>
  <c r="G261" i="3"/>
  <c r="H261" i="3"/>
  <c r="I261" i="3"/>
  <c r="G279" i="3"/>
  <c r="H279" i="3"/>
  <c r="I279" i="3"/>
  <c r="G303" i="3"/>
  <c r="H303" i="3"/>
  <c r="I303" i="3"/>
  <c r="G340" i="3"/>
  <c r="H340" i="3"/>
  <c r="I340" i="3"/>
  <c r="G393" i="3"/>
  <c r="H393" i="3"/>
  <c r="I393" i="3"/>
  <c r="G452" i="3"/>
  <c r="H452" i="3"/>
  <c r="I452" i="3"/>
  <c r="G178" i="3"/>
  <c r="H178" i="3"/>
  <c r="I178" i="3"/>
  <c r="G195" i="3"/>
  <c r="H195" i="3"/>
  <c r="I195" i="3"/>
  <c r="G211" i="3"/>
  <c r="H211" i="3"/>
  <c r="I211" i="3"/>
  <c r="G247" i="3"/>
  <c r="H247" i="3"/>
  <c r="I247" i="3"/>
  <c r="G304" i="3"/>
  <c r="H304" i="3"/>
  <c r="I304" i="3"/>
  <c r="G362" i="3"/>
  <c r="H362" i="3"/>
  <c r="I362" i="3"/>
  <c r="G453" i="3"/>
  <c r="H453" i="3"/>
  <c r="I453" i="3"/>
  <c r="G196" i="3"/>
  <c r="H196" i="3"/>
  <c r="I196" i="3"/>
  <c r="G212" i="3"/>
  <c r="H212" i="3"/>
  <c r="I212" i="3"/>
  <c r="G229" i="3"/>
  <c r="H229" i="3"/>
  <c r="I229" i="3"/>
  <c r="G262" i="3"/>
  <c r="H262" i="3"/>
  <c r="I262" i="3"/>
  <c r="G323" i="3"/>
  <c r="H323" i="3"/>
  <c r="I323" i="3"/>
  <c r="G374" i="3"/>
  <c r="H374" i="3"/>
  <c r="I374" i="3"/>
  <c r="G473" i="3"/>
  <c r="H473" i="3"/>
  <c r="I473" i="3"/>
  <c r="G213" i="3"/>
  <c r="H213" i="3"/>
  <c r="I213" i="3"/>
  <c r="G230" i="3"/>
  <c r="H230" i="3"/>
  <c r="I230" i="3"/>
  <c r="G248" i="3"/>
  <c r="H248" i="3"/>
  <c r="I248" i="3"/>
  <c r="G280" i="3"/>
  <c r="H280" i="3"/>
  <c r="I280" i="3"/>
  <c r="G341" i="3"/>
  <c r="H341" i="3"/>
  <c r="I341" i="3"/>
  <c r="G394" i="3"/>
  <c r="H394" i="3"/>
  <c r="I394" i="3"/>
  <c r="G500" i="3"/>
  <c r="H500" i="3"/>
  <c r="I500" i="3"/>
  <c r="G249" i="3"/>
  <c r="H249" i="3"/>
  <c r="I249" i="3"/>
  <c r="G263" i="3"/>
  <c r="H263" i="3"/>
  <c r="I263" i="3"/>
  <c r="G281" i="3"/>
  <c r="H281" i="3"/>
  <c r="I281" i="3"/>
  <c r="G324" i="3"/>
  <c r="H324" i="3"/>
  <c r="I324" i="3"/>
  <c r="G375" i="3"/>
  <c r="H375" i="3"/>
  <c r="I375" i="3"/>
  <c r="G428" i="3"/>
  <c r="H428" i="3"/>
  <c r="I428" i="3"/>
  <c r="G530" i="3"/>
  <c r="H530" i="3"/>
  <c r="I530" i="3"/>
  <c r="G305" i="3"/>
  <c r="H305" i="3"/>
  <c r="I305" i="3"/>
  <c r="G325" i="3"/>
  <c r="H325" i="3"/>
  <c r="I325" i="3"/>
  <c r="G342" i="3"/>
  <c r="H342" i="3"/>
  <c r="I342" i="3"/>
  <c r="G376" i="3"/>
  <c r="H376" i="3"/>
  <c r="I376" i="3"/>
  <c r="G429" i="3"/>
  <c r="H429" i="3"/>
  <c r="I429" i="3"/>
  <c r="G501" i="3"/>
  <c r="H501" i="3"/>
  <c r="I501" i="3"/>
  <c r="G599" i="3"/>
  <c r="H599" i="3"/>
  <c r="I599" i="3"/>
  <c r="G363" i="3"/>
  <c r="H363" i="3"/>
  <c r="I363" i="3"/>
  <c r="G377" i="3"/>
  <c r="H377" i="3"/>
  <c r="I377" i="3"/>
  <c r="G395" i="3"/>
  <c r="H395" i="3"/>
  <c r="I395" i="3"/>
  <c r="G430" i="3"/>
  <c r="H430" i="3"/>
  <c r="I430" i="3"/>
  <c r="G502" i="3"/>
  <c r="H502" i="3"/>
  <c r="I502" i="3"/>
  <c r="G554" i="3"/>
  <c r="H554" i="3"/>
  <c r="I554" i="3"/>
  <c r="G668" i="3"/>
  <c r="H668" i="3"/>
  <c r="I668" i="3"/>
  <c r="G454" i="3"/>
  <c r="H454" i="3"/>
  <c r="I454" i="3"/>
  <c r="G474" i="3"/>
  <c r="H474" i="3"/>
  <c r="I474" i="3"/>
  <c r="G503" i="3"/>
  <c r="H503" i="3"/>
  <c r="I503" i="3"/>
  <c r="G531" i="3"/>
  <c r="H531" i="3"/>
  <c r="I531" i="3"/>
  <c r="G600" i="3"/>
  <c r="H600" i="3"/>
  <c r="I600" i="3"/>
  <c r="G669" i="3"/>
  <c r="H669" i="3"/>
  <c r="I669" i="3"/>
  <c r="G773" i="3"/>
  <c r="H773" i="3"/>
  <c r="I773" i="3"/>
  <c r="G264" i="3"/>
  <c r="H264" i="3"/>
  <c r="I264" i="3"/>
  <c r="G282" i="3"/>
  <c r="H282" i="3"/>
  <c r="I282" i="3"/>
  <c r="G306" i="3"/>
  <c r="H306" i="3"/>
  <c r="I306" i="3"/>
  <c r="G343" i="3"/>
  <c r="H343" i="3"/>
  <c r="I343" i="3"/>
  <c r="G396" i="3"/>
  <c r="H396" i="3"/>
  <c r="I396" i="3"/>
  <c r="G455" i="3"/>
  <c r="H455" i="3"/>
  <c r="I455" i="3"/>
  <c r="G555" i="3"/>
  <c r="H555" i="3"/>
  <c r="I555" i="3"/>
  <c r="G670" i="3"/>
  <c r="H670" i="3"/>
  <c r="I670" i="3"/>
  <c r="G283" i="3"/>
  <c r="H283" i="3"/>
  <c r="I283" i="3"/>
  <c r="G307" i="3"/>
  <c r="H307" i="3"/>
  <c r="I307" i="3"/>
  <c r="G326" i="3"/>
  <c r="H326" i="3"/>
  <c r="I326" i="3"/>
  <c r="G364" i="3"/>
  <c r="H364" i="3"/>
  <c r="I364" i="3"/>
  <c r="G413" i="3"/>
  <c r="H413" i="3"/>
  <c r="I413" i="3"/>
  <c r="G475" i="3"/>
  <c r="H475" i="3"/>
  <c r="I475" i="3"/>
  <c r="G578" i="3"/>
  <c r="H578" i="3"/>
  <c r="I578" i="3"/>
  <c r="G689" i="3"/>
  <c r="H689" i="3"/>
  <c r="I689" i="3"/>
  <c r="G308" i="3"/>
  <c r="H308" i="3"/>
  <c r="I308" i="3"/>
  <c r="G327" i="3"/>
  <c r="H327" i="3"/>
  <c r="I327" i="3"/>
  <c r="G344" i="3"/>
  <c r="H344" i="3"/>
  <c r="I344" i="3"/>
  <c r="G378" i="3"/>
  <c r="H378" i="3"/>
  <c r="I378" i="3"/>
  <c r="G431" i="3"/>
  <c r="H431" i="3"/>
  <c r="I431" i="3"/>
  <c r="G504" i="3"/>
  <c r="H504" i="3"/>
  <c r="I504" i="3"/>
  <c r="G601" i="3"/>
  <c r="H601" i="3"/>
  <c r="I601" i="3"/>
  <c r="G710" i="3"/>
  <c r="H710" i="3"/>
  <c r="I710" i="3"/>
  <c r="G345" i="3"/>
  <c r="H345" i="3"/>
  <c r="I345" i="3"/>
  <c r="G365" i="3"/>
  <c r="H365" i="3"/>
  <c r="I365" i="3"/>
  <c r="G379" i="3"/>
  <c r="H379" i="3"/>
  <c r="I379" i="3"/>
  <c r="G414" i="3"/>
  <c r="H414" i="3"/>
  <c r="I414" i="3"/>
  <c r="G476" i="3"/>
  <c r="H476" i="3"/>
  <c r="I476" i="3"/>
  <c r="G532" i="3"/>
  <c r="H532" i="3"/>
  <c r="I532" i="3"/>
  <c r="G650" i="3"/>
  <c r="H650" i="3"/>
  <c r="I650" i="3"/>
  <c r="G749" i="3"/>
  <c r="H749" i="3"/>
  <c r="I749" i="3"/>
  <c r="G397" i="3"/>
  <c r="H397" i="3"/>
  <c r="I397" i="3"/>
  <c r="G415" i="3"/>
  <c r="H415" i="3"/>
  <c r="I415" i="3"/>
  <c r="G432" i="3"/>
  <c r="H432" i="3"/>
  <c r="I432" i="3"/>
  <c r="G477" i="3"/>
  <c r="H477" i="3"/>
  <c r="I477" i="3"/>
  <c r="G533" i="3"/>
  <c r="H533" i="3"/>
  <c r="I533" i="3"/>
  <c r="G602" i="3"/>
  <c r="H602" i="3"/>
  <c r="I602" i="3"/>
  <c r="G711" i="3"/>
  <c r="H711" i="3"/>
  <c r="I711" i="3"/>
  <c r="G806" i="3"/>
  <c r="H806" i="3"/>
  <c r="I806" i="3"/>
  <c r="G456" i="3"/>
  <c r="H456" i="3"/>
  <c r="I456" i="3"/>
  <c r="G478" i="3"/>
  <c r="H478" i="3"/>
  <c r="I478" i="3"/>
  <c r="G505" i="3"/>
  <c r="H505" i="3"/>
  <c r="I505" i="3"/>
  <c r="G534" i="3"/>
  <c r="H534" i="3"/>
  <c r="I534" i="3"/>
  <c r="G603" i="3"/>
  <c r="H603" i="3"/>
  <c r="I603" i="3"/>
  <c r="G671" i="3"/>
  <c r="H671" i="3"/>
  <c r="I671" i="3"/>
  <c r="G774" i="3"/>
  <c r="H774" i="3"/>
  <c r="I774" i="3"/>
  <c r="G854" i="3"/>
  <c r="H854" i="3"/>
  <c r="I854" i="3"/>
  <c r="G556" i="3"/>
  <c r="H556" i="3"/>
  <c r="I556" i="3"/>
  <c r="G579" i="3"/>
  <c r="H579" i="3"/>
  <c r="I579" i="3"/>
  <c r="G604" i="3"/>
  <c r="H604" i="3"/>
  <c r="I604" i="3"/>
  <c r="G651" i="3"/>
  <c r="H651" i="3"/>
  <c r="I651" i="3"/>
  <c r="G712" i="3"/>
  <c r="H712" i="3"/>
  <c r="I712" i="3"/>
  <c r="G775" i="3"/>
  <c r="H775" i="3"/>
  <c r="I775" i="3"/>
  <c r="G855" i="3"/>
  <c r="H855" i="3"/>
  <c r="I855" i="3"/>
  <c r="G920" i="3"/>
  <c r="H920" i="3"/>
  <c r="I920" i="3"/>
  <c r="G672" i="3"/>
  <c r="H672" i="3"/>
  <c r="I672" i="3"/>
  <c r="G690" i="3"/>
  <c r="H690" i="3"/>
  <c r="I690" i="3"/>
  <c r="G713" i="3"/>
  <c r="H713" i="3"/>
  <c r="I713" i="3"/>
  <c r="G750" i="3"/>
  <c r="H750" i="3"/>
  <c r="I750" i="3"/>
  <c r="G807" i="3"/>
  <c r="H807" i="3"/>
  <c r="I807" i="3"/>
  <c r="G856" i="3"/>
  <c r="H856" i="3"/>
  <c r="I856" i="3"/>
  <c r="G921" i="3"/>
  <c r="H921" i="3"/>
  <c r="I921" i="3"/>
  <c r="G983" i="3"/>
  <c r="H983" i="3"/>
  <c r="I983" i="3"/>
  <c r="G398" i="3"/>
  <c r="H398" i="3"/>
  <c r="I398" i="3"/>
  <c r="G416" i="3"/>
  <c r="H416" i="3"/>
  <c r="I416" i="3"/>
  <c r="G433" i="3"/>
  <c r="H433" i="3"/>
  <c r="I433" i="3"/>
  <c r="G479" i="3"/>
  <c r="H479" i="3"/>
  <c r="I479" i="3"/>
  <c r="G535" i="3"/>
  <c r="H535" i="3"/>
  <c r="I535" i="3"/>
  <c r="G605" i="3"/>
  <c r="H605" i="3"/>
  <c r="I605" i="3"/>
  <c r="G714" i="3"/>
  <c r="H714" i="3"/>
  <c r="I714" i="3"/>
  <c r="G808" i="3"/>
  <c r="H808" i="3"/>
  <c r="I808" i="3"/>
  <c r="G899" i="3"/>
  <c r="H899" i="3"/>
  <c r="I899" i="3"/>
  <c r="G417" i="3"/>
  <c r="H417" i="3"/>
  <c r="I417" i="3"/>
  <c r="G434" i="3"/>
  <c r="H434" i="3"/>
  <c r="I434" i="3"/>
  <c r="G457" i="3"/>
  <c r="H457" i="3"/>
  <c r="I457" i="3"/>
  <c r="G506" i="3"/>
  <c r="H506" i="3"/>
  <c r="I506" i="3"/>
  <c r="G557" i="3"/>
  <c r="H557" i="3"/>
  <c r="I557" i="3"/>
  <c r="G629" i="3"/>
  <c r="H629" i="3"/>
  <c r="I629" i="3"/>
  <c r="G737" i="3"/>
  <c r="H737" i="3"/>
  <c r="I737" i="3"/>
  <c r="G821" i="3"/>
  <c r="H821" i="3"/>
  <c r="I821" i="3"/>
  <c r="G922" i="3"/>
  <c r="H922" i="3"/>
  <c r="I922" i="3"/>
  <c r="G435" i="3"/>
  <c r="H435" i="3"/>
  <c r="I435" i="3"/>
  <c r="G458" i="3"/>
  <c r="H458" i="3"/>
  <c r="I458" i="3"/>
  <c r="G480" i="3"/>
  <c r="H480" i="3"/>
  <c r="I480" i="3"/>
  <c r="G524" i="3"/>
  <c r="H524" i="3"/>
  <c r="I524" i="3"/>
  <c r="G580" i="3"/>
  <c r="H580" i="3"/>
  <c r="I580" i="3"/>
  <c r="G652" i="3"/>
  <c r="H652" i="3"/>
  <c r="I652" i="3"/>
  <c r="G751" i="3"/>
  <c r="H751" i="3"/>
  <c r="I751" i="3"/>
  <c r="G836" i="3"/>
  <c r="H836" i="3"/>
  <c r="I836" i="3"/>
  <c r="G938" i="3"/>
  <c r="H938" i="3"/>
  <c r="I938" i="3"/>
  <c r="G481" i="3"/>
  <c r="H481" i="3"/>
  <c r="I481" i="3"/>
  <c r="G507" i="3"/>
  <c r="H507" i="3"/>
  <c r="I507" i="3"/>
  <c r="G525" i="3"/>
  <c r="H525" i="3"/>
  <c r="I525" i="3"/>
  <c r="G558" i="3"/>
  <c r="H558" i="3"/>
  <c r="I558" i="3"/>
  <c r="G630" i="3"/>
  <c r="H630" i="3"/>
  <c r="I630" i="3"/>
  <c r="G691" i="3"/>
  <c r="H691" i="3"/>
  <c r="I691" i="3"/>
  <c r="G794" i="3"/>
  <c r="H794" i="3"/>
  <c r="I794" i="3"/>
  <c r="G869" i="3"/>
  <c r="H869" i="3"/>
  <c r="I869" i="3"/>
  <c r="G965" i="3"/>
  <c r="H965" i="3"/>
  <c r="I965" i="3"/>
  <c r="G536" i="3"/>
  <c r="H536" i="3"/>
  <c r="I536" i="3"/>
  <c r="G559" i="3"/>
  <c r="H559" i="3"/>
  <c r="I559" i="3"/>
  <c r="G581" i="3"/>
  <c r="H581" i="3"/>
  <c r="I581" i="3"/>
  <c r="G631" i="3"/>
  <c r="H631" i="3"/>
  <c r="I631" i="3"/>
  <c r="G692" i="3"/>
  <c r="H692" i="3"/>
  <c r="I692" i="3"/>
  <c r="G752" i="3"/>
  <c r="H752" i="3"/>
  <c r="I752" i="3"/>
  <c r="G837" i="3"/>
  <c r="H837" i="3"/>
  <c r="I837" i="3"/>
  <c r="G900" i="3"/>
  <c r="H900" i="3"/>
  <c r="I900" i="3"/>
  <c r="G986" i="3"/>
  <c r="H986" i="3"/>
  <c r="I986" i="3"/>
  <c r="G606" i="3"/>
  <c r="H606" i="3"/>
  <c r="I606" i="3"/>
  <c r="G632" i="3"/>
  <c r="H632" i="3"/>
  <c r="I632" i="3"/>
  <c r="G653" i="3"/>
  <c r="H653" i="3"/>
  <c r="I653" i="3"/>
  <c r="G693" i="3"/>
  <c r="H693" i="3"/>
  <c r="I693" i="3"/>
  <c r="G753" i="3"/>
  <c r="H753" i="3"/>
  <c r="I753" i="3"/>
  <c r="G809" i="3"/>
  <c r="H809" i="3"/>
  <c r="I809" i="3"/>
  <c r="G887" i="3"/>
  <c r="H887" i="3"/>
  <c r="I887" i="3"/>
  <c r="G956" i="3"/>
  <c r="H956" i="3"/>
  <c r="I956" i="3"/>
  <c r="G1022" i="3"/>
  <c r="H1022" i="3"/>
  <c r="I1022" i="3"/>
  <c r="G715" i="3"/>
  <c r="H715" i="3"/>
  <c r="I715" i="3"/>
  <c r="G738" i="3"/>
  <c r="H738" i="3"/>
  <c r="I738" i="3"/>
  <c r="G754" i="3"/>
  <c r="H754" i="3"/>
  <c r="I754" i="3"/>
  <c r="G795" i="3"/>
  <c r="H795" i="3"/>
  <c r="I795" i="3"/>
  <c r="G838" i="3"/>
  <c r="H838" i="3"/>
  <c r="I838" i="3"/>
  <c r="G888" i="3"/>
  <c r="H888" i="3"/>
  <c r="I888" i="3"/>
  <c r="G957" i="3"/>
  <c r="H957" i="3"/>
  <c r="I957" i="3"/>
  <c r="G1004" i="3"/>
  <c r="H1004" i="3"/>
  <c r="I1004" i="3"/>
  <c r="G1058" i="3"/>
  <c r="H1058" i="3"/>
  <c r="I1058" i="3"/>
  <c r="G810" i="3"/>
  <c r="H810" i="3"/>
  <c r="I810" i="3"/>
  <c r="G822" i="3"/>
  <c r="H822" i="3"/>
  <c r="I822" i="3"/>
  <c r="G839" i="3"/>
  <c r="H839" i="3"/>
  <c r="I839" i="3"/>
  <c r="G870" i="3"/>
  <c r="H870" i="3"/>
  <c r="I870" i="3"/>
  <c r="G901" i="3"/>
  <c r="H901" i="3"/>
  <c r="I901" i="3"/>
  <c r="G958" i="3"/>
  <c r="H958" i="3"/>
  <c r="I958" i="3"/>
  <c r="G1005" i="3"/>
  <c r="H1005" i="3"/>
  <c r="I1005" i="3"/>
  <c r="G1043" i="3"/>
  <c r="H1043" i="3"/>
  <c r="I1043" i="3"/>
  <c r="G1094" i="3"/>
  <c r="H1094" i="3"/>
  <c r="I1094" i="3"/>
  <c r="G902" i="3"/>
  <c r="H902" i="3"/>
  <c r="I902" i="3"/>
  <c r="G923" i="3"/>
  <c r="H923" i="3"/>
  <c r="I923" i="3"/>
  <c r="G939" i="3"/>
  <c r="H939" i="3"/>
  <c r="I939" i="3"/>
  <c r="G966" i="3"/>
  <c r="H966" i="3"/>
  <c r="I966" i="3"/>
  <c r="G987" i="3"/>
  <c r="H987" i="3"/>
  <c r="I987" i="3"/>
  <c r="G1023" i="3"/>
  <c r="H1023" i="3"/>
  <c r="I1023" i="3"/>
  <c r="G1059" i="3"/>
  <c r="H1059" i="3"/>
  <c r="I1059" i="3"/>
  <c r="G1095" i="3"/>
  <c r="H1095" i="3"/>
  <c r="I1095" i="3"/>
  <c r="G1121" i="3"/>
  <c r="H1121" i="3"/>
  <c r="I1121" i="3"/>
  <c r="G537" i="3"/>
  <c r="H537" i="3"/>
  <c r="I537" i="3"/>
  <c r="G560" i="3"/>
  <c r="H560" i="3"/>
  <c r="I560" i="3"/>
  <c r="G582" i="3"/>
  <c r="H582" i="3"/>
  <c r="I582" i="3"/>
  <c r="G633" i="3"/>
  <c r="H633" i="3"/>
  <c r="I633" i="3"/>
  <c r="G694" i="3"/>
  <c r="H694" i="3"/>
  <c r="I694" i="3"/>
  <c r="G755" i="3"/>
  <c r="H755" i="3"/>
  <c r="I755" i="3"/>
  <c r="G840" i="3"/>
  <c r="H840" i="3"/>
  <c r="I840" i="3"/>
  <c r="G903" i="3"/>
  <c r="H903" i="3"/>
  <c r="I903" i="3"/>
  <c r="G988" i="3"/>
  <c r="H988" i="3"/>
  <c r="I988" i="3"/>
  <c r="G1046" i="3"/>
  <c r="H1046" i="3"/>
  <c r="I1046" i="3"/>
  <c r="G561" i="3"/>
  <c r="H561" i="3"/>
  <c r="I561" i="3"/>
  <c r="G583" i="3"/>
  <c r="H583" i="3"/>
  <c r="I583" i="3"/>
  <c r="G607" i="3"/>
  <c r="H607" i="3"/>
  <c r="I607" i="3"/>
  <c r="G654" i="3"/>
  <c r="H654" i="3"/>
  <c r="I654" i="3"/>
  <c r="G716" i="3"/>
  <c r="H716" i="3"/>
  <c r="I716" i="3"/>
  <c r="G776" i="3"/>
  <c r="H776" i="3"/>
  <c r="I776" i="3"/>
  <c r="G857" i="3"/>
  <c r="H857" i="3"/>
  <c r="I857" i="3"/>
  <c r="G924" i="3"/>
  <c r="H924" i="3"/>
  <c r="I924" i="3"/>
  <c r="G1006" i="3"/>
  <c r="H1006" i="3"/>
  <c r="I1006" i="3"/>
  <c r="G1060" i="3"/>
  <c r="H1060" i="3"/>
  <c r="I1060" i="3"/>
  <c r="G584" i="3"/>
  <c r="H584" i="3"/>
  <c r="I584" i="3"/>
  <c r="G608" i="3"/>
  <c r="H608" i="3"/>
  <c r="I608" i="3"/>
  <c r="G634" i="3"/>
  <c r="H634" i="3"/>
  <c r="I634" i="3"/>
  <c r="G673" i="3"/>
  <c r="H673" i="3"/>
  <c r="I673" i="3"/>
  <c r="G739" i="3"/>
  <c r="H739" i="3"/>
  <c r="I739" i="3"/>
  <c r="G796" i="3"/>
  <c r="H796" i="3"/>
  <c r="I796" i="3"/>
  <c r="G871" i="3"/>
  <c r="H871" i="3"/>
  <c r="I871" i="3"/>
  <c r="G940" i="3"/>
  <c r="H940" i="3"/>
  <c r="I940" i="3"/>
  <c r="G1016" i="3"/>
  <c r="H1016" i="3"/>
  <c r="I1016" i="3"/>
  <c r="G1076" i="3"/>
  <c r="H1076" i="3"/>
  <c r="I1076" i="3"/>
  <c r="G635" i="3"/>
  <c r="H635" i="3"/>
  <c r="I635" i="3"/>
  <c r="G655" i="3"/>
  <c r="H655" i="3"/>
  <c r="I655" i="3"/>
  <c r="G674" i="3"/>
  <c r="H674" i="3"/>
  <c r="I674" i="3"/>
  <c r="G717" i="3"/>
  <c r="H717" i="3"/>
  <c r="I717" i="3"/>
  <c r="G777" i="3"/>
  <c r="H777" i="3"/>
  <c r="I777" i="3"/>
  <c r="G823" i="3"/>
  <c r="H823" i="3"/>
  <c r="I823" i="3"/>
  <c r="G893" i="3"/>
  <c r="H893" i="3"/>
  <c r="I893" i="3"/>
  <c r="G967" i="3"/>
  <c r="H967" i="3"/>
  <c r="I967" i="3"/>
  <c r="G1037" i="3"/>
  <c r="H1037" i="3"/>
  <c r="I1037" i="3"/>
  <c r="G1088" i="3"/>
  <c r="H1088" i="3"/>
  <c r="I1088" i="3"/>
  <c r="G695" i="3"/>
  <c r="H695" i="3"/>
  <c r="I695" i="3"/>
  <c r="G718" i="3"/>
  <c r="H718" i="3"/>
  <c r="I718" i="3"/>
  <c r="G740" i="3"/>
  <c r="H740" i="3"/>
  <c r="I740" i="3"/>
  <c r="G778" i="3"/>
  <c r="H778" i="3"/>
  <c r="I778" i="3"/>
  <c r="G824" i="3"/>
  <c r="H824" i="3"/>
  <c r="I824" i="3"/>
  <c r="G872" i="3"/>
  <c r="H872" i="3"/>
  <c r="I872" i="3"/>
  <c r="G941" i="3"/>
  <c r="H941" i="3"/>
  <c r="I941" i="3"/>
  <c r="G989" i="3"/>
  <c r="H989" i="3"/>
  <c r="I989" i="3"/>
  <c r="G1047" i="3"/>
  <c r="H1047" i="3"/>
  <c r="I1047" i="3"/>
  <c r="G1103" i="3"/>
  <c r="H1103" i="3"/>
  <c r="I1103" i="3"/>
  <c r="G756" i="3"/>
  <c r="H756" i="3"/>
  <c r="I756" i="3"/>
  <c r="G779" i="3"/>
  <c r="H779" i="3"/>
  <c r="I779" i="3"/>
  <c r="G797" i="3"/>
  <c r="H797" i="3"/>
  <c r="I797" i="3"/>
  <c r="G825" i="3"/>
  <c r="H825" i="3"/>
  <c r="I825" i="3"/>
  <c r="G873" i="3"/>
  <c r="H873" i="3"/>
  <c r="I873" i="3"/>
  <c r="G904" i="3"/>
  <c r="H904" i="3"/>
  <c r="I904" i="3"/>
  <c r="G977" i="3"/>
  <c r="H977" i="3"/>
  <c r="I977" i="3"/>
  <c r="G1024" i="3"/>
  <c r="H1024" i="3"/>
  <c r="I1024" i="3"/>
  <c r="G1082" i="3"/>
  <c r="H1082" i="3"/>
  <c r="I1082" i="3"/>
  <c r="G1115" i="3"/>
  <c r="H1115" i="3"/>
  <c r="I1115" i="3"/>
  <c r="G841" i="3"/>
  <c r="H841" i="3"/>
  <c r="I841" i="3"/>
  <c r="G858" i="3"/>
  <c r="H858" i="3"/>
  <c r="I858" i="3"/>
  <c r="G874" i="3"/>
  <c r="H874" i="3"/>
  <c r="I874" i="3"/>
  <c r="G894" i="3"/>
  <c r="H894" i="3"/>
  <c r="I894" i="3"/>
  <c r="G942" i="3"/>
  <c r="H942" i="3"/>
  <c r="I942" i="3"/>
  <c r="G978" i="3"/>
  <c r="H978" i="3"/>
  <c r="I978" i="3"/>
  <c r="G1025" i="3"/>
  <c r="H1025" i="3"/>
  <c r="I1025" i="3"/>
  <c r="G1061" i="3"/>
  <c r="H1061" i="3"/>
  <c r="I1061" i="3"/>
  <c r="G1109" i="3"/>
  <c r="H1109" i="3"/>
  <c r="I1109" i="3"/>
  <c r="G1130" i="3"/>
  <c r="H1130" i="3"/>
  <c r="I1130" i="3"/>
  <c r="G905" i="3"/>
  <c r="H905" i="3"/>
  <c r="I905" i="3"/>
  <c r="G925" i="3"/>
  <c r="H925" i="3"/>
  <c r="I925" i="3"/>
  <c r="G943" i="3"/>
  <c r="H943" i="3"/>
  <c r="I943" i="3"/>
  <c r="G968" i="3"/>
  <c r="H968" i="3"/>
  <c r="I968" i="3"/>
  <c r="G990" i="3"/>
  <c r="H990" i="3"/>
  <c r="I990" i="3"/>
  <c r="G1026" i="3"/>
  <c r="H1026" i="3"/>
  <c r="I1026" i="3"/>
  <c r="G1062" i="3"/>
  <c r="H1062" i="3"/>
  <c r="I1062" i="3"/>
  <c r="G1096" i="3"/>
  <c r="H1096" i="3"/>
  <c r="I1096" i="3"/>
  <c r="G1122" i="3"/>
  <c r="H1122" i="3"/>
  <c r="I1122" i="3"/>
  <c r="G1136" i="3"/>
  <c r="H1136" i="3"/>
  <c r="I1136" i="3"/>
  <c r="G991" i="3"/>
  <c r="H991" i="3"/>
  <c r="I991" i="3"/>
  <c r="G1007" i="3"/>
  <c r="H1007" i="3"/>
  <c r="I1007" i="3"/>
  <c r="G1017" i="3"/>
  <c r="H1017" i="3"/>
  <c r="I1017" i="3"/>
  <c r="G1038" i="3"/>
  <c r="H1038" i="3"/>
  <c r="I1038" i="3"/>
  <c r="G1048" i="3"/>
  <c r="H1048" i="3"/>
  <c r="I1048" i="3"/>
  <c r="G1083" i="3"/>
  <c r="H1083" i="3"/>
  <c r="I1083" i="3"/>
  <c r="G1110" i="3"/>
  <c r="H1110" i="3"/>
  <c r="I1110" i="3"/>
  <c r="G1123" i="3"/>
  <c r="H1123" i="3"/>
  <c r="I1123" i="3"/>
  <c r="G1137" i="3"/>
  <c r="H1137" i="3"/>
  <c r="I1137" i="3"/>
  <c r="G1145" i="3"/>
  <c r="H1145" i="3"/>
  <c r="I1145" i="3"/>
  <c r="G1049" i="3"/>
  <c r="H1049" i="3"/>
  <c r="I1049" i="3"/>
  <c r="G1063" i="3"/>
  <c r="H1063" i="3"/>
  <c r="I1063" i="3"/>
  <c r="G1077" i="3"/>
  <c r="H1077" i="3"/>
  <c r="I1077" i="3"/>
  <c r="G1089" i="3"/>
  <c r="H1089" i="3"/>
  <c r="I1089" i="3"/>
  <c r="G1104" i="3"/>
  <c r="H1104" i="3"/>
  <c r="I1104" i="3"/>
  <c r="G1116" i="3"/>
  <c r="H1116" i="3"/>
  <c r="I1116" i="3"/>
  <c r="G1131" i="3"/>
  <c r="H1131" i="3"/>
  <c r="I1131" i="3"/>
  <c r="G1138" i="3"/>
  <c r="H1138" i="3"/>
  <c r="I1138" i="3"/>
  <c r="G1146" i="3"/>
  <c r="H1146" i="3"/>
  <c r="I1146" i="3"/>
  <c r="G1151" i="3"/>
  <c r="H1151" i="3"/>
  <c r="I1151" i="3"/>
  <c r="G8" i="3"/>
  <c r="H8" i="3"/>
  <c r="I8" i="3"/>
  <c r="G14" i="3"/>
  <c r="H14" i="3"/>
  <c r="I14" i="3"/>
  <c r="G9" i="3"/>
  <c r="H9" i="3"/>
  <c r="I9" i="3"/>
  <c r="G15" i="3"/>
  <c r="H15" i="3"/>
  <c r="I15" i="3"/>
  <c r="G23" i="3"/>
  <c r="H23" i="3"/>
  <c r="I23" i="3"/>
  <c r="G16" i="3"/>
  <c r="H16" i="3"/>
  <c r="I16" i="3"/>
  <c r="G24" i="3"/>
  <c r="H24" i="3"/>
  <c r="I24" i="3"/>
  <c r="G35" i="3"/>
  <c r="H35" i="3"/>
  <c r="I35" i="3"/>
  <c r="G25" i="3"/>
  <c r="H25" i="3"/>
  <c r="I25" i="3"/>
  <c r="G36" i="3"/>
  <c r="H36" i="3"/>
  <c r="I36" i="3"/>
  <c r="G47" i="3"/>
  <c r="H47" i="3"/>
  <c r="I47" i="3"/>
  <c r="G26" i="3"/>
  <c r="H26" i="3"/>
  <c r="I26" i="3"/>
  <c r="G37" i="3"/>
  <c r="H37" i="3"/>
  <c r="I37" i="3"/>
  <c r="G48" i="3"/>
  <c r="H48" i="3"/>
  <c r="I48" i="3"/>
  <c r="G68" i="3"/>
  <c r="H68" i="3"/>
  <c r="I68" i="3"/>
  <c r="G38" i="3"/>
  <c r="H38" i="3"/>
  <c r="I38" i="3"/>
  <c r="G49" i="3"/>
  <c r="H49" i="3"/>
  <c r="I49" i="3"/>
  <c r="G59" i="3"/>
  <c r="H59" i="3"/>
  <c r="I59" i="3"/>
  <c r="G83" i="3"/>
  <c r="H83" i="3"/>
  <c r="I83" i="3"/>
  <c r="G50" i="3"/>
  <c r="H50" i="3"/>
  <c r="I50" i="3"/>
  <c r="G60" i="3"/>
  <c r="H60" i="3"/>
  <c r="I60" i="3"/>
  <c r="G69" i="3"/>
  <c r="H69" i="3"/>
  <c r="I69" i="3"/>
  <c r="G98" i="3"/>
  <c r="H98" i="3"/>
  <c r="I98" i="3"/>
  <c r="G70" i="3"/>
  <c r="H70" i="3"/>
  <c r="I70" i="3"/>
  <c r="G84" i="3"/>
  <c r="H84" i="3"/>
  <c r="I84" i="3"/>
  <c r="G99" i="3"/>
  <c r="H99" i="3"/>
  <c r="I99" i="3"/>
  <c r="G128" i="3"/>
  <c r="H128" i="3"/>
  <c r="I128" i="3"/>
  <c r="G61" i="3"/>
  <c r="H61" i="3"/>
  <c r="I61" i="3"/>
  <c r="G71" i="3"/>
  <c r="H71" i="3"/>
  <c r="I71" i="3"/>
  <c r="H5" i="3"/>
  <c r="I5" i="3"/>
  <c r="G5" i="3"/>
  <c r="A426" i="3" l="1"/>
  <c r="B32" i="3"/>
  <c r="C109" i="3"/>
  <c r="A1153" i="3"/>
  <c r="B1144" i="3"/>
  <c r="A1119" i="3"/>
  <c r="B1087" i="3"/>
  <c r="A1057" i="3"/>
  <c r="A1034" i="3"/>
  <c r="C1000" i="3"/>
  <c r="A952" i="3"/>
  <c r="B917" i="3"/>
  <c r="C886" i="3"/>
  <c r="A867" i="3"/>
  <c r="A835" i="3"/>
  <c r="B790" i="3"/>
  <c r="A709" i="3"/>
  <c r="A647" i="3"/>
  <c r="C553" i="3"/>
  <c r="A1032" i="3"/>
  <c r="C974" i="3"/>
  <c r="B963" i="3"/>
  <c r="B934" i="3"/>
  <c r="A914" i="3"/>
  <c r="A881" i="3"/>
  <c r="B849" i="3"/>
  <c r="A802" i="3"/>
  <c r="A732" i="3"/>
  <c r="C644" i="3"/>
  <c r="A573" i="3"/>
  <c r="A498" i="3"/>
  <c r="B426" i="3"/>
  <c r="A817" i="3"/>
  <c r="B729" i="3"/>
  <c r="A662" i="3"/>
  <c r="C593" i="3"/>
  <c r="A571" i="3"/>
  <c r="C955" i="3"/>
  <c r="B802" i="3"/>
  <c r="C573" i="3"/>
  <c r="B662" i="3"/>
  <c r="A1144" i="3"/>
  <c r="B1135" i="3"/>
  <c r="C1108" i="3"/>
  <c r="B1080" i="3"/>
  <c r="C1054" i="3"/>
  <c r="B1015" i="3"/>
  <c r="C976" i="3"/>
  <c r="C919" i="3"/>
  <c r="C883" i="3"/>
  <c r="A805" i="3"/>
  <c r="A748" i="3"/>
  <c r="A687" i="3"/>
  <c r="A598" i="3"/>
  <c r="A529" i="3"/>
  <c r="C1032" i="3"/>
  <c r="C914" i="3"/>
  <c r="B1057" i="3"/>
  <c r="B359" i="3"/>
  <c r="A256" i="3"/>
  <c r="J979" i="3"/>
  <c r="B709" i="3"/>
  <c r="C1144" i="3"/>
  <c r="A1087" i="3"/>
  <c r="B1000" i="3"/>
  <c r="B886" i="3"/>
  <c r="A790" i="3"/>
  <c r="B553" i="3"/>
  <c r="A963" i="3"/>
  <c r="A849" i="3"/>
  <c r="B644" i="3"/>
  <c r="C426" i="3"/>
  <c r="A729" i="3"/>
  <c r="C1057" i="3"/>
  <c r="A1000" i="3"/>
  <c r="A886" i="3"/>
  <c r="C709" i="3"/>
  <c r="A553" i="3"/>
  <c r="C802" i="3"/>
  <c r="A644" i="3"/>
  <c r="C662" i="3"/>
  <c r="A65" i="3"/>
  <c r="A44" i="3"/>
  <c r="A20" i="3"/>
  <c r="C448" i="3"/>
  <c r="C322" i="3"/>
  <c r="C517" i="3"/>
  <c r="C141" i="3"/>
  <c r="B1153" i="3"/>
  <c r="A1129" i="3"/>
  <c r="A1102" i="3"/>
  <c r="A1074" i="3"/>
  <c r="A1041" i="3"/>
  <c r="A1003" i="3"/>
  <c r="A955" i="3"/>
  <c r="C917" i="3"/>
  <c r="B867" i="3"/>
  <c r="A793" i="3"/>
  <c r="C1119" i="3"/>
  <c r="C952" i="3"/>
  <c r="C835" i="3"/>
  <c r="B1032" i="3"/>
  <c r="B914" i="3"/>
  <c r="B573" i="3"/>
  <c r="C817" i="3"/>
  <c r="B1119" i="3"/>
  <c r="C1034" i="3"/>
  <c r="B952" i="3"/>
  <c r="B835" i="3"/>
  <c r="C647" i="3"/>
  <c r="C732" i="3"/>
  <c r="B817" i="3"/>
  <c r="B1034" i="3"/>
  <c r="B647" i="3"/>
  <c r="B732" i="3"/>
  <c r="C498" i="3"/>
  <c r="C571" i="3"/>
  <c r="A1100" i="3"/>
  <c r="A999" i="3"/>
  <c r="C950" i="3"/>
  <c r="C891" i="3"/>
  <c r="C831" i="3"/>
  <c r="A625" i="3"/>
  <c r="A471" i="3"/>
  <c r="A933" i="3"/>
  <c r="A788" i="3"/>
  <c r="A703" i="3"/>
  <c r="A622" i="3"/>
  <c r="B548" i="3"/>
  <c r="C1087" i="3"/>
  <c r="C790" i="3"/>
  <c r="C963" i="3"/>
  <c r="C849" i="3"/>
  <c r="B498" i="3"/>
  <c r="C729" i="3"/>
  <c r="B571" i="3"/>
  <c r="J722" i="3"/>
  <c r="C12" i="3"/>
  <c r="A297" i="3"/>
  <c r="A170" i="3"/>
  <c r="A734" i="3"/>
  <c r="B733" i="3"/>
  <c r="A892" i="3"/>
  <c r="A736" i="3"/>
  <c r="A666" i="3"/>
  <c r="A596" i="3"/>
  <c r="A1070" i="3"/>
  <c r="A974" i="3"/>
  <c r="J896" i="3"/>
  <c r="J311" i="3"/>
  <c r="J448" i="3"/>
  <c r="J521" i="3"/>
  <c r="J621" i="3"/>
  <c r="J686" i="3"/>
  <c r="J766" i="3"/>
  <c r="J932" i="3"/>
  <c r="C440" i="3"/>
  <c r="C167" i="3"/>
  <c r="A23" i="3"/>
  <c r="A1131" i="3"/>
  <c r="A1137" i="3"/>
  <c r="A991" i="3"/>
  <c r="A943" i="3"/>
  <c r="A942" i="3"/>
  <c r="A977" i="3"/>
  <c r="A1047" i="3"/>
  <c r="A695" i="3"/>
  <c r="A857" i="3"/>
  <c r="A839" i="3"/>
  <c r="C795" i="3"/>
  <c r="C752" i="3"/>
  <c r="C794" i="3"/>
  <c r="C836" i="3"/>
  <c r="C922" i="3"/>
  <c r="C417" i="3"/>
  <c r="C690" i="3"/>
  <c r="C478" i="3"/>
  <c r="C415" i="3"/>
  <c r="C365" i="3"/>
  <c r="C327" i="3"/>
  <c r="C307" i="3"/>
  <c r="C262" i="3"/>
  <c r="C211" i="3"/>
  <c r="C261" i="3"/>
  <c r="C277" i="3"/>
  <c r="C161" i="3"/>
  <c r="C115" i="3"/>
  <c r="J372" i="3"/>
  <c r="J571" i="3"/>
  <c r="J729" i="3"/>
  <c r="J802" i="3"/>
  <c r="J1018" i="3"/>
  <c r="J1111" i="3"/>
  <c r="J1132" i="3"/>
  <c r="J4" i="3"/>
  <c r="J31" i="3"/>
  <c r="J46" i="3"/>
  <c r="J80" i="3"/>
  <c r="J82" i="3"/>
  <c r="J125" i="3"/>
  <c r="J186" i="3"/>
  <c r="J126" i="3"/>
  <c r="J171" i="3"/>
  <c r="J406" i="3"/>
  <c r="C391" i="3"/>
  <c r="B683" i="3"/>
  <c r="C518" i="3"/>
  <c r="A445" i="3"/>
  <c r="A371" i="3"/>
  <c r="B244" i="3"/>
  <c r="C466" i="3"/>
  <c r="B297" i="3"/>
  <c r="C188" i="3"/>
  <c r="B203" i="3"/>
  <c r="B142" i="3"/>
  <c r="A94" i="3"/>
  <c r="A1150" i="3"/>
  <c r="A1093" i="3"/>
  <c r="C1042" i="3"/>
  <c r="C1014" i="3"/>
  <c r="A918" i="3"/>
  <c r="C667" i="3"/>
  <c r="C1071" i="3"/>
  <c r="C851" i="3"/>
  <c r="C820" i="3"/>
  <c r="A767" i="3"/>
  <c r="A595" i="3"/>
  <c r="C528" i="3"/>
  <c r="C451" i="3"/>
  <c r="C766" i="3"/>
  <c r="C621" i="3"/>
  <c r="C550" i="3"/>
  <c r="C1148" i="3"/>
  <c r="C847" i="3"/>
  <c r="C845" i="3"/>
  <c r="A348" i="3"/>
  <c r="A19" i="3"/>
  <c r="J484" i="3"/>
  <c r="J540" i="3"/>
  <c r="J612" i="3"/>
  <c r="J696" i="3"/>
  <c r="J645" i="3"/>
  <c r="C79" i="3"/>
  <c r="B45" i="3"/>
  <c r="B619" i="3"/>
  <c r="C207" i="3"/>
  <c r="B317" i="3"/>
  <c r="C294" i="3"/>
  <c r="B220" i="3"/>
  <c r="A1092" i="3"/>
  <c r="A884" i="3"/>
  <c r="B251" i="3"/>
  <c r="B151" i="3"/>
  <c r="J1091" i="3"/>
  <c r="J757" i="3"/>
  <c r="J39" i="3"/>
  <c r="J54" i="3"/>
  <c r="J103" i="3"/>
  <c r="J92" i="3"/>
  <c r="J150" i="3"/>
  <c r="J138" i="3"/>
  <c r="J183" i="3"/>
  <c r="J184" i="3"/>
  <c r="J312" i="3"/>
  <c r="J438" i="3"/>
  <c r="J511" i="3"/>
  <c r="J780" i="3"/>
  <c r="J463" i="3"/>
  <c r="J697" i="3"/>
  <c r="J465" i="3"/>
  <c r="J945" i="3"/>
  <c r="J1008" i="3"/>
  <c r="J1098" i="3"/>
  <c r="J617" i="3"/>
  <c r="J681" i="3"/>
  <c r="J935" i="3"/>
  <c r="J482" i="3"/>
  <c r="J562" i="3"/>
  <c r="J419" i="3"/>
  <c r="J703" i="3"/>
  <c r="J402" i="3"/>
  <c r="A244" i="3"/>
  <c r="A665" i="3"/>
  <c r="B665" i="3"/>
  <c r="J236" i="3"/>
  <c r="B188" i="3"/>
  <c r="A55" i="3"/>
  <c r="A469" i="3"/>
  <c r="A391" i="3"/>
  <c r="A336" i="3"/>
  <c r="C683" i="3"/>
  <c r="A518" i="3"/>
  <c r="B445" i="3"/>
  <c r="B371" i="3"/>
  <c r="A318" i="3"/>
  <c r="C244" i="3"/>
  <c r="A466" i="3"/>
  <c r="C297" i="3"/>
  <c r="A242" i="3"/>
  <c r="A188" i="3"/>
  <c r="A143" i="3"/>
  <c r="C203" i="3"/>
  <c r="A142" i="3"/>
  <c r="A96" i="3"/>
  <c r="B94" i="3"/>
  <c r="A1134" i="3"/>
  <c r="C1107" i="3"/>
  <c r="C1075" i="3"/>
  <c r="C975" i="3"/>
  <c r="A868" i="3"/>
  <c r="C804" i="3"/>
  <c r="A747" i="3"/>
  <c r="C597" i="3"/>
  <c r="C998" i="3"/>
  <c r="C935" i="3"/>
  <c r="A882" i="3"/>
  <c r="J381" i="3"/>
  <c r="J916" i="3"/>
  <c r="J973" i="3"/>
  <c r="J1045" i="3"/>
  <c r="J577" i="3"/>
  <c r="B391" i="3"/>
  <c r="A203" i="3"/>
  <c r="J948" i="3"/>
  <c r="J1139" i="3"/>
  <c r="J240" i="3"/>
  <c r="J358" i="3"/>
  <c r="J409" i="3"/>
  <c r="J516" i="3"/>
  <c r="J620" i="3"/>
  <c r="J321" i="3"/>
  <c r="J494" i="3"/>
  <c r="A683" i="3"/>
  <c r="J420" i="3"/>
  <c r="C371" i="3"/>
  <c r="C94" i="3"/>
  <c r="J508" i="3"/>
  <c r="J610" i="3"/>
  <c r="J314" i="3"/>
  <c r="J439" i="3"/>
  <c r="J512" i="3"/>
  <c r="J586" i="3"/>
  <c r="J720" i="3"/>
  <c r="J421" i="3"/>
  <c r="J489" i="3"/>
  <c r="J565" i="3"/>
  <c r="J637" i="3"/>
  <c r="J723" i="3"/>
  <c r="J798" i="3"/>
  <c r="J843" i="3"/>
  <c r="J907" i="3"/>
  <c r="J960" i="3"/>
  <c r="J1027" i="3"/>
  <c r="J569" i="3"/>
  <c r="J1031" i="3"/>
  <c r="J1067" i="3"/>
  <c r="C142" i="3"/>
  <c r="B542" i="3"/>
  <c r="A12" i="3"/>
  <c r="C66" i="3"/>
  <c r="A107" i="3"/>
  <c r="A74" i="3"/>
  <c r="J541" i="3"/>
  <c r="J678" i="3"/>
  <c r="J984" i="3"/>
  <c r="J543" i="3"/>
  <c r="J616" i="3"/>
  <c r="J699" i="3"/>
  <c r="J761" i="3"/>
  <c r="J827" i="3"/>
  <c r="J890" i="3"/>
  <c r="C336" i="3"/>
  <c r="B518" i="3"/>
  <c r="C318" i="3"/>
  <c r="B466" i="3"/>
  <c r="C242" i="3"/>
  <c r="C143" i="3"/>
  <c r="C7" i="3"/>
  <c r="A57" i="3"/>
  <c r="C45" i="3"/>
  <c r="A33" i="3"/>
  <c r="A496" i="3"/>
  <c r="A493" i="3"/>
  <c r="A425" i="3"/>
  <c r="A411" i="3"/>
  <c r="A372" i="3"/>
  <c r="C359" i="3"/>
  <c r="A320" i="3"/>
  <c r="B274" i="3"/>
  <c r="C619" i="3"/>
  <c r="A546" i="3"/>
  <c r="B492" i="3"/>
  <c r="A467" i="3"/>
  <c r="A408" i="3"/>
  <c r="A387" i="3"/>
  <c r="A357" i="3"/>
  <c r="A333" i="3"/>
  <c r="A273" i="3"/>
  <c r="A258" i="3"/>
  <c r="A222" i="3"/>
  <c r="A207" i="3"/>
  <c r="A356" i="3"/>
  <c r="C317" i="3"/>
  <c r="A294" i="3"/>
  <c r="B256" i="3"/>
  <c r="C220" i="3"/>
  <c r="A205" i="3"/>
  <c r="B170" i="3"/>
  <c r="A145" i="3"/>
  <c r="A112" i="3"/>
  <c r="A238" i="3"/>
  <c r="A185" i="3"/>
  <c r="A155" i="3"/>
  <c r="A124" i="3"/>
  <c r="A110" i="3"/>
  <c r="A81" i="3"/>
  <c r="A109" i="3"/>
  <c r="A1149" i="3"/>
  <c r="A1142" i="3"/>
  <c r="A1120" i="3"/>
  <c r="A1113" i="3"/>
  <c r="A1081" i="3"/>
  <c r="A1072" i="3"/>
  <c r="A1055" i="3"/>
  <c r="C934" i="3"/>
  <c r="B881" i="3"/>
  <c r="A819" i="3"/>
  <c r="A746" i="3"/>
  <c r="A664" i="3"/>
  <c r="A594" i="3"/>
  <c r="A523" i="3"/>
  <c r="J470" i="3"/>
  <c r="C469" i="3"/>
  <c r="B336" i="3"/>
  <c r="B318" i="3"/>
  <c r="B242" i="3"/>
  <c r="B143" i="3"/>
  <c r="C96" i="3"/>
  <c r="B66" i="3"/>
  <c r="J351" i="3"/>
  <c r="J542" i="3"/>
  <c r="J614" i="3"/>
  <c r="J719" i="3"/>
  <c r="B469" i="3"/>
  <c r="C445" i="3"/>
  <c r="B96" i="3"/>
  <c r="J585" i="3"/>
  <c r="J677" i="3"/>
  <c r="J665" i="3"/>
  <c r="A994" i="3"/>
  <c r="J649" i="3"/>
  <c r="J735" i="3"/>
  <c r="J792" i="3"/>
  <c r="J853" i="3"/>
  <c r="J898" i="3"/>
  <c r="J954" i="3"/>
  <c r="J1002" i="3"/>
  <c r="J1036" i="3"/>
  <c r="J1073" i="3"/>
  <c r="J1093" i="3"/>
  <c r="J1128" i="3"/>
  <c r="J1150" i="3"/>
  <c r="C46" i="3"/>
  <c r="A31" i="3"/>
  <c r="A520" i="3"/>
  <c r="B447" i="3"/>
  <c r="C360" i="3"/>
  <c r="B321" i="3"/>
  <c r="B300" i="3"/>
  <c r="A620" i="3"/>
  <c r="C516" i="3"/>
  <c r="C468" i="3"/>
  <c r="A409" i="3"/>
  <c r="B358" i="3"/>
  <c r="A334" i="3"/>
  <c r="C298" i="3"/>
  <c r="B259" i="3"/>
  <c r="C208" i="3"/>
  <c r="B406" i="3"/>
  <c r="A354" i="3"/>
  <c r="C240" i="3"/>
  <c r="C206" i="3"/>
  <c r="A171" i="3"/>
  <c r="A156" i="3"/>
  <c r="C126" i="3"/>
  <c r="B239" i="3"/>
  <c r="A125" i="3"/>
  <c r="A140" i="3"/>
  <c r="A1143" i="3"/>
  <c r="C1114" i="3"/>
  <c r="A1086" i="3"/>
  <c r="A1073" i="3"/>
  <c r="C1056" i="3"/>
  <c r="A1036" i="3"/>
  <c r="A1021" i="3"/>
  <c r="A1002" i="3"/>
  <c r="B954" i="3"/>
  <c r="A898" i="3"/>
  <c r="B834" i="3"/>
  <c r="C772" i="3"/>
  <c r="B708" i="3"/>
  <c r="C649" i="3"/>
  <c r="C628" i="3"/>
  <c r="B1127" i="3"/>
  <c r="C1013" i="3"/>
  <c r="C962" i="3"/>
  <c r="C913" i="3"/>
  <c r="A851" i="3"/>
  <c r="A848" i="3"/>
  <c r="C818" i="3"/>
  <c r="A770" i="3"/>
  <c r="C745" i="3"/>
  <c r="A707" i="3"/>
  <c r="B643" i="3"/>
  <c r="B552" i="3"/>
  <c r="B497" i="3"/>
  <c r="B412" i="3"/>
  <c r="B728" i="3"/>
  <c r="B624" i="3"/>
  <c r="A592" i="3"/>
  <c r="B680" i="3"/>
  <c r="A1027" i="3"/>
  <c r="B698" i="3"/>
  <c r="J250" i="3"/>
  <c r="J309" i="3"/>
  <c r="J1010" i="3"/>
  <c r="J1040" i="3"/>
  <c r="J1090" i="3"/>
  <c r="J294" i="3"/>
  <c r="J359" i="3"/>
  <c r="J496" i="3"/>
  <c r="J550" i="3"/>
  <c r="J595" i="3"/>
  <c r="J770" i="3"/>
  <c r="J803" i="3"/>
  <c r="J820" i="3"/>
  <c r="J964" i="3"/>
  <c r="J998" i="3"/>
  <c r="J1071" i="3"/>
  <c r="J597" i="3"/>
  <c r="J667" i="3"/>
  <c r="J747" i="3"/>
  <c r="J804" i="3"/>
  <c r="J868" i="3"/>
  <c r="J918" i="3"/>
  <c r="J975" i="3"/>
  <c r="J1014" i="3"/>
  <c r="B976" i="3"/>
  <c r="J702" i="3"/>
  <c r="J783" i="3"/>
  <c r="J1069" i="3"/>
  <c r="J731" i="3"/>
  <c r="J646" i="3"/>
  <c r="J745" i="3"/>
  <c r="J882" i="3"/>
  <c r="J962" i="3"/>
  <c r="A628" i="3"/>
  <c r="C20" i="3"/>
  <c r="J350" i="3"/>
  <c r="J369" i="3"/>
  <c r="J679" i="3"/>
  <c r="J859" i="3"/>
  <c r="J878" i="3"/>
  <c r="J1112" i="3"/>
  <c r="J593" i="3"/>
  <c r="J644" i="3"/>
  <c r="J732" i="3"/>
  <c r="J768" i="3"/>
  <c r="B12" i="3"/>
  <c r="J287" i="3"/>
  <c r="J400" i="3"/>
  <c r="J846" i="3"/>
  <c r="J895" i="3"/>
  <c r="J930" i="3"/>
  <c r="J949" i="3"/>
  <c r="J994" i="3"/>
  <c r="J1125" i="3"/>
  <c r="J1148" i="3"/>
  <c r="J21" i="3"/>
  <c r="J34" i="3"/>
  <c r="J78" i="3"/>
  <c r="J67" i="3"/>
  <c r="J123" i="3"/>
  <c r="J169" i="3"/>
  <c r="J293" i="3"/>
  <c r="J157" i="3"/>
  <c r="J219" i="3"/>
  <c r="J573" i="3"/>
  <c r="J963" i="3"/>
  <c r="C1021" i="3"/>
  <c r="J269" i="3"/>
  <c r="J404" i="3"/>
  <c r="J961" i="3"/>
  <c r="J743" i="3"/>
  <c r="J828" i="3"/>
  <c r="J863" i="3"/>
  <c r="J947" i="3"/>
  <c r="J243" i="3"/>
  <c r="J299" i="3"/>
  <c r="J370" i="3"/>
  <c r="J444" i="3"/>
  <c r="J517" i="3"/>
  <c r="J682" i="3"/>
  <c r="J322" i="3"/>
  <c r="J373" i="3"/>
  <c r="J410" i="3"/>
  <c r="J849" i="3"/>
  <c r="J867" i="3"/>
  <c r="J917" i="3"/>
  <c r="J955" i="3"/>
  <c r="J1003" i="3"/>
  <c r="J1041" i="3"/>
  <c r="J1074" i="3"/>
  <c r="J1102" i="3"/>
  <c r="J1129" i="3"/>
  <c r="J1153" i="3"/>
  <c r="A79" i="3"/>
  <c r="A45" i="3"/>
  <c r="B55" i="3"/>
  <c r="A22" i="3"/>
  <c r="A13" i="3"/>
  <c r="B40" i="3"/>
  <c r="J254" i="3"/>
  <c r="J538" i="3"/>
  <c r="J564" i="3"/>
  <c r="J613" i="3"/>
  <c r="J656" i="3"/>
  <c r="J829" i="3"/>
  <c r="J879" i="3"/>
  <c r="J911" i="3"/>
  <c r="A450" i="3"/>
  <c r="A866" i="3"/>
  <c r="A765" i="3"/>
  <c r="A685" i="3"/>
  <c r="B396" i="3"/>
  <c r="B228" i="3"/>
  <c r="J27" i="3"/>
  <c r="J42" i="3"/>
  <c r="J75" i="3"/>
  <c r="J77" i="3"/>
  <c r="J120" i="3"/>
  <c r="J180" i="3"/>
  <c r="J121" i="3"/>
  <c r="J166" i="3"/>
  <c r="J233" i="3"/>
  <c r="J286" i="3"/>
  <c r="J399" i="3"/>
  <c r="J202" i="3"/>
  <c r="J218" i="3"/>
  <c r="J461" i="3"/>
  <c r="J291" i="3"/>
  <c r="J331" i="3"/>
  <c r="J726" i="3"/>
  <c r="J785" i="3"/>
  <c r="J847" i="3"/>
  <c r="J1066" i="3"/>
  <c r="J1079" i="3"/>
  <c r="J241" i="3"/>
  <c r="J296" i="3"/>
  <c r="J730" i="3"/>
  <c r="J451" i="3"/>
  <c r="J528" i="3"/>
  <c r="J1049" i="3"/>
  <c r="J990" i="3"/>
  <c r="J740" i="3"/>
  <c r="J777" i="3"/>
  <c r="J871" i="3"/>
  <c r="J1006" i="3"/>
  <c r="J561" i="3"/>
  <c r="J582" i="3"/>
  <c r="J966" i="3"/>
  <c r="J901" i="3"/>
  <c r="J888" i="3"/>
  <c r="J887" i="3"/>
  <c r="J900" i="3"/>
  <c r="J965" i="3"/>
  <c r="J481" i="3"/>
  <c r="J458" i="3"/>
  <c r="J457" i="3"/>
  <c r="J479" i="3"/>
  <c r="J750" i="3"/>
  <c r="J651" i="3"/>
  <c r="J534" i="3"/>
  <c r="J477" i="3"/>
  <c r="J414" i="3"/>
  <c r="J378" i="3"/>
  <c r="J364" i="3"/>
  <c r="J343" i="3"/>
  <c r="J503" i="3"/>
  <c r="J377" i="3"/>
  <c r="J305" i="3"/>
  <c r="J500" i="3"/>
  <c r="J374" i="3"/>
  <c r="J304" i="3"/>
  <c r="J303" i="3"/>
  <c r="J210" i="3"/>
  <c r="J245" i="3"/>
  <c r="J148" i="3"/>
  <c r="J102" i="3"/>
  <c r="J147" i="3"/>
  <c r="J173" i="3"/>
  <c r="J2" i="3"/>
  <c r="A49" i="3"/>
  <c r="A25" i="3"/>
  <c r="A8" i="3"/>
  <c r="B1077" i="3"/>
  <c r="B1048" i="3"/>
  <c r="B1062" i="3"/>
  <c r="B1109" i="3"/>
  <c r="B841" i="3"/>
  <c r="B797" i="3"/>
  <c r="B824" i="3"/>
  <c r="B893" i="3"/>
  <c r="B1016" i="3"/>
  <c r="B584" i="3"/>
  <c r="B607" i="3"/>
  <c r="B694" i="3"/>
  <c r="B1023" i="3"/>
  <c r="B1005" i="3"/>
  <c r="B1004" i="3"/>
  <c r="C98" i="3"/>
  <c r="J346" i="3"/>
  <c r="J1146" i="3"/>
  <c r="J1025" i="3"/>
  <c r="J283" i="3"/>
  <c r="J264" i="3"/>
  <c r="J668" i="3"/>
  <c r="J501" i="3"/>
  <c r="J375" i="3"/>
  <c r="J280" i="3"/>
  <c r="J86" i="3"/>
  <c r="A48" i="3"/>
  <c r="A16" i="3"/>
  <c r="C1138" i="3"/>
  <c r="C1104" i="3"/>
  <c r="C1145" i="3"/>
  <c r="C1007" i="3"/>
  <c r="C968" i="3"/>
  <c r="C978" i="3"/>
  <c r="C1024" i="3"/>
  <c r="C1103" i="3"/>
  <c r="C718" i="3"/>
  <c r="C717" i="3"/>
  <c r="C635" i="3"/>
  <c r="C796" i="3"/>
  <c r="C924" i="3"/>
  <c r="C1046" i="3"/>
  <c r="C560" i="3"/>
  <c r="C939" i="3"/>
  <c r="C870" i="3"/>
  <c r="A129" i="3"/>
  <c r="A61" i="3"/>
  <c r="A50" i="3"/>
  <c r="J181" i="3"/>
  <c r="J122" i="3"/>
  <c r="J167" i="3"/>
  <c r="J234" i="3"/>
  <c r="J252" i="3"/>
  <c r="J639" i="3"/>
  <c r="J741" i="3"/>
  <c r="J813" i="3"/>
  <c r="J845" i="3"/>
  <c r="J909" i="3"/>
  <c r="J969" i="3"/>
  <c r="J1044" i="3"/>
  <c r="J1051" i="3"/>
  <c r="J495" i="3"/>
  <c r="J472" i="3"/>
  <c r="J26" i="3"/>
  <c r="C1122" i="3"/>
  <c r="C873" i="3"/>
  <c r="C716" i="3"/>
  <c r="C1094" i="3"/>
  <c r="A653" i="3"/>
  <c r="A854" i="3"/>
  <c r="A429" i="3"/>
  <c r="A209" i="3"/>
  <c r="A797" i="3"/>
  <c r="J18" i="3"/>
  <c r="J40" i="3"/>
  <c r="J62" i="3"/>
  <c r="J104" i="3"/>
  <c r="J105" i="3"/>
  <c r="J151" i="3"/>
  <c r="J231" i="3"/>
  <c r="J139" i="3"/>
  <c r="J199" i="3"/>
  <c r="J251" i="3"/>
  <c r="J310" i="3"/>
  <c r="J201" i="3"/>
  <c r="J216" i="3"/>
  <c r="J462" i="3"/>
  <c r="J487" i="3"/>
  <c r="J781" i="3"/>
  <c r="J1030" i="3"/>
  <c r="J914" i="3"/>
  <c r="J50" i="3"/>
  <c r="B535" i="3"/>
  <c r="A1005" i="3"/>
  <c r="J6" i="3"/>
  <c r="J119" i="3"/>
  <c r="J107" i="3"/>
  <c r="J165" i="3"/>
  <c r="J215" i="3"/>
  <c r="J285" i="3"/>
  <c r="J348" i="3"/>
  <c r="J290" i="3"/>
  <c r="J265" i="3"/>
  <c r="J24" i="3"/>
  <c r="J1082" i="3"/>
  <c r="J61" i="3"/>
  <c r="J136" i="3"/>
  <c r="J182" i="3"/>
  <c r="J288" i="3"/>
  <c r="J217" i="3"/>
  <c r="J253" i="3"/>
  <c r="J403" i="3"/>
  <c r="J980" i="3"/>
  <c r="J7" i="3"/>
  <c r="J33" i="3"/>
  <c r="J57" i="3"/>
  <c r="J94" i="3"/>
  <c r="J96" i="3"/>
  <c r="J142" i="3"/>
  <c r="J203" i="3"/>
  <c r="J143" i="3"/>
  <c r="J188" i="3"/>
  <c r="J242" i="3"/>
  <c r="J297" i="3"/>
  <c r="J466" i="3"/>
  <c r="J244" i="3"/>
  <c r="J318" i="3"/>
  <c r="J371" i="3"/>
  <c r="J445" i="3"/>
  <c r="J518" i="3"/>
  <c r="J683" i="3"/>
  <c r="J336" i="3"/>
  <c r="J425" i="3"/>
  <c r="J767" i="3"/>
  <c r="J1017" i="3"/>
  <c r="J756" i="3"/>
  <c r="J1089" i="3"/>
  <c r="J1083" i="3"/>
  <c r="J1096" i="3"/>
  <c r="J1130" i="3"/>
  <c r="J858" i="3"/>
  <c r="J825" i="3"/>
  <c r="J872" i="3"/>
  <c r="J967" i="3"/>
  <c r="J1076" i="3"/>
  <c r="J608" i="3"/>
  <c r="J654" i="3"/>
  <c r="J755" i="3"/>
  <c r="J1059" i="3"/>
  <c r="J1043" i="3"/>
  <c r="J1058" i="3"/>
  <c r="J715" i="3"/>
  <c r="J632" i="3"/>
  <c r="J581" i="3"/>
  <c r="J558" i="3"/>
  <c r="J580" i="3"/>
  <c r="J629" i="3"/>
  <c r="J714" i="3"/>
  <c r="J921" i="3"/>
  <c r="J855" i="3"/>
  <c r="J774" i="3"/>
  <c r="J711" i="3"/>
  <c r="J650" i="3"/>
  <c r="J601" i="3"/>
  <c r="J578" i="3"/>
  <c r="J555" i="3"/>
  <c r="J669" i="3"/>
  <c r="J502" i="3"/>
  <c r="J376" i="3"/>
  <c r="J281" i="3"/>
  <c r="J230" i="3"/>
  <c r="J196" i="3"/>
  <c r="J452" i="3"/>
  <c r="J278" i="3"/>
  <c r="J177" i="3"/>
  <c r="J276" i="3"/>
  <c r="J160" i="3"/>
  <c r="J159" i="3"/>
  <c r="J114" i="3"/>
  <c r="J158" i="3"/>
  <c r="A59" i="3"/>
  <c r="C26" i="3"/>
  <c r="C15" i="3"/>
  <c r="A86" i="3"/>
  <c r="A99" i="3"/>
  <c r="J51" i="3"/>
  <c r="J63" i="3"/>
  <c r="J134" i="3"/>
  <c r="J106" i="3"/>
  <c r="J163" i="3"/>
  <c r="J232" i="3"/>
  <c r="J152" i="3"/>
  <c r="J200" i="3"/>
  <c r="J268" i="3"/>
  <c r="J328" i="3"/>
  <c r="J353" i="3"/>
  <c r="J996" i="3"/>
  <c r="J1147" i="3"/>
  <c r="J411" i="3"/>
  <c r="J622" i="3"/>
  <c r="J707" i="3"/>
  <c r="J368" i="3"/>
  <c r="J721" i="3"/>
  <c r="J658" i="3"/>
  <c r="J742" i="3"/>
  <c r="J814" i="3"/>
  <c r="J875" i="3"/>
  <c r="J928" i="3"/>
  <c r="J944" i="3"/>
  <c r="J970" i="3"/>
  <c r="J1064" i="3"/>
  <c r="J744" i="3"/>
  <c r="J1011" i="3"/>
  <c r="J1099" i="3"/>
  <c r="J1117" i="3"/>
  <c r="J1133" i="3"/>
  <c r="J12" i="3"/>
  <c r="J43" i="3"/>
  <c r="J58" i="3"/>
  <c r="J108" i="3"/>
  <c r="J97" i="3"/>
  <c r="J154" i="3"/>
  <c r="J204" i="3"/>
  <c r="J144" i="3"/>
  <c r="J189" i="3"/>
  <c r="J270" i="3"/>
  <c r="J295" i="3"/>
  <c r="J386" i="3"/>
  <c r="J446" i="3"/>
  <c r="J519" i="3"/>
  <c r="J787" i="3"/>
  <c r="J337" i="3"/>
  <c r="J423" i="3"/>
  <c r="J469" i="3"/>
  <c r="J626" i="3"/>
  <c r="J664" i="3"/>
  <c r="J892" i="3"/>
  <c r="J934" i="3"/>
  <c r="J950" i="3"/>
  <c r="J999" i="3"/>
  <c r="J1100" i="3"/>
  <c r="J598" i="3"/>
  <c r="J687" i="3"/>
  <c r="J805" i="3"/>
  <c r="J883" i="3"/>
  <c r="J919" i="3"/>
  <c r="J976" i="3"/>
  <c r="J1015" i="3"/>
  <c r="J1054" i="3"/>
  <c r="B1021" i="3"/>
  <c r="A976" i="3"/>
  <c r="J255" i="3"/>
  <c r="J271" i="3"/>
  <c r="J389" i="3"/>
  <c r="J491" i="3"/>
  <c r="J570" i="3"/>
  <c r="J301" i="3"/>
  <c r="J361" i="3"/>
  <c r="J493" i="3"/>
  <c r="J572" i="3"/>
  <c r="J663" i="3"/>
  <c r="J522" i="3"/>
  <c r="J552" i="3"/>
  <c r="J818" i="3"/>
  <c r="J848" i="3"/>
  <c r="J850" i="3"/>
  <c r="J835" i="3"/>
  <c r="J886" i="3"/>
  <c r="J952" i="3"/>
  <c r="J1000" i="3"/>
  <c r="J1034" i="3"/>
  <c r="C1086" i="3"/>
  <c r="B1054" i="3"/>
  <c r="C898" i="3"/>
  <c r="A7" i="3"/>
  <c r="B7" i="3"/>
  <c r="B65" i="3"/>
  <c r="C65" i="3"/>
  <c r="J289" i="3"/>
  <c r="J460" i="3"/>
  <c r="J352" i="3"/>
  <c r="J385" i="3"/>
  <c r="J724" i="3"/>
  <c r="J844" i="3"/>
  <c r="J1028" i="3"/>
  <c r="J727" i="3"/>
  <c r="J786" i="3"/>
  <c r="J830" i="3"/>
  <c r="J877" i="3"/>
  <c r="J997" i="3"/>
  <c r="J1029" i="3"/>
  <c r="J1050" i="3"/>
  <c r="J1141" i="3"/>
  <c r="J32" i="3"/>
  <c r="J56" i="3"/>
  <c r="J93" i="3"/>
  <c r="J95" i="3"/>
  <c r="J141" i="3"/>
  <c r="J187" i="3"/>
  <c r="J127" i="3"/>
  <c r="J172" i="3"/>
  <c r="J407" i="3"/>
  <c r="J765" i="3"/>
  <c r="J817" i="3"/>
  <c r="J471" i="3"/>
  <c r="J706" i="3"/>
  <c r="J746" i="3"/>
  <c r="J951" i="3"/>
  <c r="J974" i="3"/>
  <c r="B1086" i="3"/>
  <c r="A1054" i="3"/>
  <c r="B898" i="3"/>
  <c r="B772" i="3"/>
  <c r="B1013" i="3"/>
  <c r="J349" i="3"/>
  <c r="J483" i="3"/>
  <c r="J292" i="3"/>
  <c r="J332" i="3"/>
  <c r="J486" i="3"/>
  <c r="J611" i="3"/>
  <c r="J657" i="3"/>
  <c r="J926" i="3"/>
  <c r="J443" i="3"/>
  <c r="J526" i="3"/>
  <c r="J588" i="3"/>
  <c r="J659" i="3"/>
  <c r="J759" i="3"/>
  <c r="J815" i="3"/>
  <c r="J876" i="3"/>
  <c r="J929" i="3"/>
  <c r="J1065" i="3"/>
  <c r="J763" i="3"/>
  <c r="J931" i="3"/>
  <c r="J971" i="3"/>
  <c r="J995" i="3"/>
  <c r="J1105" i="3"/>
  <c r="J1118" i="3"/>
  <c r="J20" i="3"/>
  <c r="J44" i="3"/>
  <c r="J65" i="3"/>
  <c r="J109" i="3"/>
  <c r="J110" i="3"/>
  <c r="J155" i="3"/>
  <c r="J238" i="3"/>
  <c r="J145" i="3"/>
  <c r="J205" i="3"/>
  <c r="J256" i="3"/>
  <c r="J317" i="3"/>
  <c r="J207" i="3"/>
  <c r="J258" i="3"/>
  <c r="J333" i="3"/>
  <c r="J467" i="3"/>
  <c r="J546" i="3"/>
  <c r="J274" i="3"/>
  <c r="J390" i="3"/>
  <c r="J424" i="3"/>
  <c r="J624" i="3"/>
  <c r="J426" i="3"/>
  <c r="J498" i="3"/>
  <c r="J575" i="3"/>
  <c r="J643" i="3"/>
  <c r="J851" i="3"/>
  <c r="J913" i="3"/>
  <c r="J915" i="3"/>
  <c r="J833" i="3"/>
  <c r="J884" i="3"/>
  <c r="J936" i="3"/>
  <c r="J981" i="3"/>
  <c r="J1020" i="3"/>
  <c r="C1143" i="3"/>
  <c r="B1108" i="3"/>
  <c r="A772" i="3"/>
  <c r="A1013" i="3"/>
  <c r="B950" i="3"/>
  <c r="J437" i="3"/>
  <c r="J609" i="3"/>
  <c r="J418" i="3"/>
  <c r="J563" i="3"/>
  <c r="J405" i="3"/>
  <c r="J488" i="3"/>
  <c r="J544" i="3"/>
  <c r="J636" i="3"/>
  <c r="J700" i="3"/>
  <c r="J762" i="3"/>
  <c r="J842" i="3"/>
  <c r="J906" i="3"/>
  <c r="J959" i="3"/>
  <c r="J1009" i="3"/>
  <c r="J725" i="3"/>
  <c r="J784" i="3"/>
  <c r="J880" i="3"/>
  <c r="J912" i="3"/>
  <c r="J1039" i="3"/>
  <c r="J1053" i="3"/>
  <c r="J1078" i="3"/>
  <c r="J1152" i="3"/>
  <c r="J22" i="3"/>
  <c r="J45" i="3"/>
  <c r="J79" i="3"/>
  <c r="J81" i="3"/>
  <c r="J124" i="3"/>
  <c r="J185" i="3"/>
  <c r="J112" i="3"/>
  <c r="J170" i="3"/>
  <c r="J220" i="3"/>
  <c r="J356" i="3"/>
  <c r="J408" i="3"/>
  <c r="J492" i="3"/>
  <c r="J619" i="3"/>
  <c r="J320" i="3"/>
  <c r="J447" i="3"/>
  <c r="J548" i="3"/>
  <c r="J769" i="3"/>
  <c r="J819" i="3"/>
  <c r="J831" i="3"/>
  <c r="J852" i="3"/>
  <c r="J897" i="3"/>
  <c r="J953" i="3"/>
  <c r="J1001" i="3"/>
  <c r="J1035" i="3"/>
  <c r="J1072" i="3"/>
  <c r="B1143" i="3"/>
  <c r="A1108" i="3"/>
  <c r="A950" i="3"/>
  <c r="A1141" i="3"/>
  <c r="A1117" i="3"/>
  <c r="A1053" i="3"/>
  <c r="A1029" i="3"/>
  <c r="A946" i="3"/>
  <c r="A880" i="3"/>
  <c r="A830" i="3"/>
  <c r="A783" i="3"/>
  <c r="A640" i="3"/>
  <c r="A545" i="3"/>
  <c r="A960" i="3"/>
  <c r="A907" i="3"/>
  <c r="A843" i="3"/>
  <c r="A798" i="3"/>
  <c r="A637" i="3"/>
  <c r="J1042" i="3"/>
  <c r="J1075" i="3"/>
  <c r="J1107" i="3"/>
  <c r="J1134" i="3"/>
  <c r="A80" i="3"/>
  <c r="B80" i="3"/>
  <c r="C80" i="3"/>
  <c r="A46" i="3"/>
  <c r="B46" i="3"/>
  <c r="B520" i="3"/>
  <c r="C520" i="3"/>
  <c r="A494" i="3"/>
  <c r="B494" i="3"/>
  <c r="C494" i="3"/>
  <c r="A447" i="3"/>
  <c r="C447" i="3"/>
  <c r="B423" i="3"/>
  <c r="C423" i="3"/>
  <c r="A373" i="3"/>
  <c r="B373" i="3"/>
  <c r="C373" i="3"/>
  <c r="A360" i="3"/>
  <c r="B360" i="3"/>
  <c r="C321" i="3"/>
  <c r="A321" i="3"/>
  <c r="A300" i="3"/>
  <c r="C300" i="3"/>
  <c r="B620" i="3"/>
  <c r="C620" i="3"/>
  <c r="B547" i="3"/>
  <c r="C547" i="3"/>
  <c r="A516" i="3"/>
  <c r="B516" i="3"/>
  <c r="A468" i="3"/>
  <c r="B468" i="3"/>
  <c r="B409" i="3"/>
  <c r="C409" i="3"/>
  <c r="A388" i="3"/>
  <c r="B388" i="3"/>
  <c r="C388" i="3"/>
  <c r="C358" i="3"/>
  <c r="A358" i="3"/>
  <c r="B334" i="3"/>
  <c r="C334" i="3"/>
  <c r="A298" i="3"/>
  <c r="B298" i="3"/>
  <c r="A259" i="3"/>
  <c r="C259" i="3"/>
  <c r="A223" i="3"/>
  <c r="B223" i="3"/>
  <c r="C223" i="3"/>
  <c r="A208" i="3"/>
  <c r="B208" i="3"/>
  <c r="A406" i="3"/>
  <c r="C406" i="3"/>
  <c r="B354" i="3"/>
  <c r="C354" i="3"/>
  <c r="A295" i="3"/>
  <c r="B295" i="3"/>
  <c r="C295" i="3"/>
  <c r="A270" i="3"/>
  <c r="B270" i="3"/>
  <c r="C270" i="3"/>
  <c r="A240" i="3"/>
  <c r="B240" i="3"/>
  <c r="A206" i="3"/>
  <c r="B206" i="3"/>
  <c r="B171" i="3"/>
  <c r="C171" i="3"/>
  <c r="B156" i="3"/>
  <c r="C156" i="3"/>
  <c r="A126" i="3"/>
  <c r="B126" i="3"/>
  <c r="C239" i="3"/>
  <c r="A239" i="3"/>
  <c r="A186" i="3"/>
  <c r="B186" i="3"/>
  <c r="C186" i="3"/>
  <c r="A168" i="3"/>
  <c r="B168" i="3"/>
  <c r="B125" i="3"/>
  <c r="C125" i="3"/>
  <c r="A111" i="3"/>
  <c r="B111" i="3"/>
  <c r="C111" i="3"/>
  <c r="C82" i="3"/>
  <c r="A82" i="3"/>
  <c r="B140" i="3"/>
  <c r="C140" i="3"/>
  <c r="B1150" i="3"/>
  <c r="C1150" i="3"/>
  <c r="C1135" i="3"/>
  <c r="A1135" i="3"/>
  <c r="B1128" i="3"/>
  <c r="C1128" i="3"/>
  <c r="A1114" i="3"/>
  <c r="B1114" i="3"/>
  <c r="B1093" i="3"/>
  <c r="C1093" i="3"/>
  <c r="C1080" i="3"/>
  <c r="A1080" i="3"/>
  <c r="B1073" i="3"/>
  <c r="C1073" i="3"/>
  <c r="A1056" i="3"/>
  <c r="B1056" i="3"/>
  <c r="B1036" i="3"/>
  <c r="C1036" i="3"/>
  <c r="C1015" i="3"/>
  <c r="A1015" i="3"/>
  <c r="B1002" i="3"/>
  <c r="C1002" i="3"/>
  <c r="A982" i="3"/>
  <c r="B982" i="3"/>
  <c r="C954" i="3"/>
  <c r="A954" i="3"/>
  <c r="A937" i="3"/>
  <c r="B937" i="3"/>
  <c r="A919" i="3"/>
  <c r="B919" i="3"/>
  <c r="B885" i="3"/>
  <c r="C885" i="3"/>
  <c r="A883" i="3"/>
  <c r="B883" i="3"/>
  <c r="A853" i="3"/>
  <c r="B853" i="3"/>
  <c r="C853" i="3"/>
  <c r="C834" i="3"/>
  <c r="A834" i="3"/>
  <c r="B805" i="3"/>
  <c r="C805" i="3"/>
  <c r="A792" i="3"/>
  <c r="B792" i="3"/>
  <c r="B748" i="3"/>
  <c r="C748" i="3"/>
  <c r="A735" i="3"/>
  <c r="B735" i="3"/>
  <c r="C735" i="3"/>
  <c r="C708" i="3"/>
  <c r="A708" i="3"/>
  <c r="B687" i="3"/>
  <c r="C687" i="3"/>
  <c r="A649" i="3"/>
  <c r="B649" i="3"/>
  <c r="B598" i="3"/>
  <c r="C598" i="3"/>
  <c r="A577" i="3"/>
  <c r="B577" i="3"/>
  <c r="C577" i="3"/>
  <c r="C1127" i="3"/>
  <c r="A1127" i="3"/>
  <c r="B1100" i="3"/>
  <c r="C1100" i="3"/>
  <c r="A1045" i="3"/>
  <c r="B1045" i="3"/>
  <c r="B999" i="3"/>
  <c r="C999" i="3"/>
  <c r="B973" i="3"/>
  <c r="C973" i="3"/>
  <c r="A962" i="3"/>
  <c r="B962" i="3"/>
  <c r="C916" i="3"/>
  <c r="A916" i="3"/>
  <c r="A913" i="3"/>
  <c r="B913" i="3"/>
  <c r="A891" i="3"/>
  <c r="B891" i="3"/>
  <c r="B848" i="3"/>
  <c r="C848" i="3"/>
  <c r="A831" i="3"/>
  <c r="B831" i="3"/>
  <c r="A818" i="3"/>
  <c r="B818" i="3"/>
  <c r="B770" i="3"/>
  <c r="C770" i="3"/>
  <c r="A768" i="3"/>
  <c r="B768" i="3"/>
  <c r="C768" i="3"/>
  <c r="A745" i="3"/>
  <c r="B745" i="3"/>
  <c r="B707" i="3"/>
  <c r="C707" i="3"/>
  <c r="A705" i="3"/>
  <c r="B705" i="3"/>
  <c r="C705" i="3"/>
  <c r="A646" i="3"/>
  <c r="B646" i="3"/>
  <c r="C646" i="3"/>
  <c r="C643" i="3"/>
  <c r="A643" i="3"/>
  <c r="B625" i="3"/>
  <c r="C625" i="3"/>
  <c r="A575" i="3"/>
  <c r="B575" i="3"/>
  <c r="C575" i="3"/>
  <c r="A552" i="3"/>
  <c r="C552" i="3"/>
  <c r="B529" i="3"/>
  <c r="C529" i="3"/>
  <c r="A522" i="3"/>
  <c r="B522" i="3"/>
  <c r="C522" i="3"/>
  <c r="C497" i="3"/>
  <c r="A497" i="3"/>
  <c r="B471" i="3"/>
  <c r="C471" i="3"/>
  <c r="A449" i="3"/>
  <c r="B449" i="3"/>
  <c r="C449" i="3"/>
  <c r="A412" i="3"/>
  <c r="C412" i="3"/>
  <c r="B933" i="3"/>
  <c r="C933" i="3"/>
  <c r="A865" i="3"/>
  <c r="B865" i="3"/>
  <c r="C865" i="3"/>
  <c r="C816" i="3"/>
  <c r="A816" i="3"/>
  <c r="B788" i="3"/>
  <c r="C788" i="3"/>
  <c r="A731" i="3"/>
  <c r="B731" i="3"/>
  <c r="C731" i="3"/>
  <c r="A728" i="3"/>
  <c r="C728" i="3"/>
  <c r="B703" i="3"/>
  <c r="C703" i="3"/>
  <c r="A684" i="3"/>
  <c r="B684" i="3"/>
  <c r="C684" i="3"/>
  <c r="C624" i="3"/>
  <c r="A624" i="3"/>
  <c r="B622" i="3"/>
  <c r="C622" i="3"/>
  <c r="B592" i="3"/>
  <c r="C592" i="3"/>
  <c r="A550" i="3"/>
  <c r="B550" i="3"/>
  <c r="C548" i="3"/>
  <c r="A548" i="3"/>
  <c r="C1133" i="3"/>
  <c r="A1133" i="3"/>
  <c r="B1133" i="3"/>
  <c r="C1106" i="3"/>
  <c r="A1106" i="3"/>
  <c r="B1106" i="3"/>
  <c r="C1078" i="3"/>
  <c r="A1078" i="3"/>
  <c r="C1050" i="3"/>
  <c r="A1050" i="3"/>
  <c r="B1050" i="3"/>
  <c r="C1011" i="3"/>
  <c r="A1011" i="3"/>
  <c r="B1011" i="3"/>
  <c r="C972" i="3"/>
  <c r="A972" i="3"/>
  <c r="B972" i="3"/>
  <c r="C912" i="3"/>
  <c r="A912" i="3"/>
  <c r="B912" i="3"/>
  <c r="C877" i="3"/>
  <c r="A877" i="3"/>
  <c r="B877" i="3"/>
  <c r="C801" i="3"/>
  <c r="A801" i="3"/>
  <c r="B801" i="3"/>
  <c r="C744" i="3"/>
  <c r="A744" i="3"/>
  <c r="B744" i="3"/>
  <c r="C680" i="3"/>
  <c r="A680" i="3"/>
  <c r="C591" i="3"/>
  <c r="A591" i="3"/>
  <c r="B591" i="3"/>
  <c r="C1097" i="3"/>
  <c r="A1097" i="3"/>
  <c r="B1097" i="3"/>
  <c r="C993" i="3"/>
  <c r="A993" i="3"/>
  <c r="B993" i="3"/>
  <c r="C944" i="3"/>
  <c r="A944" i="3"/>
  <c r="B944" i="3"/>
  <c r="C889" i="3"/>
  <c r="A889" i="3"/>
  <c r="B889" i="3"/>
  <c r="C826" i="3"/>
  <c r="A826" i="3"/>
  <c r="B826" i="3"/>
  <c r="C760" i="3"/>
  <c r="A760" i="3"/>
  <c r="B760" i="3"/>
  <c r="C698" i="3"/>
  <c r="A698" i="3"/>
  <c r="A615" i="3"/>
  <c r="B615" i="3"/>
  <c r="C615" i="3"/>
  <c r="A527" i="3"/>
  <c r="B527" i="3"/>
  <c r="C527" i="3"/>
  <c r="A464" i="3"/>
  <c r="B464" i="3"/>
  <c r="C464" i="3"/>
  <c r="A927" i="3"/>
  <c r="B927" i="3"/>
  <c r="C927" i="3"/>
  <c r="A781" i="3"/>
  <c r="B781" i="3"/>
  <c r="C781" i="3"/>
  <c r="A696" i="3"/>
  <c r="B696" i="3"/>
  <c r="C696" i="3"/>
  <c r="A612" i="3"/>
  <c r="B612" i="3"/>
  <c r="C612" i="3"/>
  <c r="A540" i="3"/>
  <c r="B540" i="3"/>
  <c r="C540" i="3"/>
  <c r="A462" i="3"/>
  <c r="B462" i="3"/>
  <c r="C462" i="3"/>
  <c r="A385" i="3"/>
  <c r="B385" i="3"/>
  <c r="C385" i="3"/>
  <c r="A331" i="3"/>
  <c r="B331" i="3"/>
  <c r="C331" i="3"/>
  <c r="A676" i="3"/>
  <c r="B676" i="3"/>
  <c r="C676" i="3"/>
  <c r="A510" i="3"/>
  <c r="B510" i="3"/>
  <c r="C510" i="3"/>
  <c r="A437" i="3"/>
  <c r="B437" i="3"/>
  <c r="C437" i="3"/>
  <c r="A367" i="3"/>
  <c r="B367" i="3"/>
  <c r="C367" i="3"/>
  <c r="A311" i="3"/>
  <c r="B311" i="3"/>
  <c r="C311" i="3"/>
  <c r="A237" i="3"/>
  <c r="B237" i="3"/>
  <c r="C237" i="3"/>
  <c r="J676" i="3"/>
  <c r="J313" i="3"/>
  <c r="J513" i="3"/>
  <c r="J927" i="3"/>
  <c r="J464" i="3"/>
  <c r="J527" i="3"/>
  <c r="J615" i="3"/>
  <c r="J760" i="3"/>
  <c r="J889" i="3"/>
  <c r="J1097" i="3"/>
  <c r="J642" i="3"/>
  <c r="J701" i="3"/>
  <c r="J764" i="3"/>
  <c r="J946" i="3"/>
  <c r="J972" i="3"/>
  <c r="J1068" i="3"/>
  <c r="J1085" i="3"/>
  <c r="J1106" i="3"/>
  <c r="J13" i="3"/>
  <c r="J55" i="3"/>
  <c r="J66" i="3"/>
  <c r="J140" i="3"/>
  <c r="J111" i="3"/>
  <c r="J168" i="3"/>
  <c r="J239" i="3"/>
  <c r="J156" i="3"/>
  <c r="J206" i="3"/>
  <c r="J354" i="3"/>
  <c r="J208" i="3"/>
  <c r="J259" i="3"/>
  <c r="J334" i="3"/>
  <c r="J388" i="3"/>
  <c r="J468" i="3"/>
  <c r="J547" i="3"/>
  <c r="J300" i="3"/>
  <c r="J360" i="3"/>
  <c r="J391" i="3"/>
  <c r="J520" i="3"/>
  <c r="J662" i="3"/>
  <c r="J499" i="3"/>
  <c r="J551" i="3"/>
  <c r="J594" i="3"/>
  <c r="J832" i="3"/>
  <c r="J881" i="3"/>
  <c r="J891" i="3"/>
  <c r="J1013" i="3"/>
  <c r="J1127" i="3"/>
  <c r="J628" i="3"/>
  <c r="J708" i="3"/>
  <c r="J772" i="3"/>
  <c r="J885" i="3"/>
  <c r="J937" i="3"/>
  <c r="J982" i="3"/>
  <c r="J1021" i="3"/>
  <c r="J1056" i="3"/>
  <c r="J1086" i="3"/>
  <c r="J1114" i="3"/>
  <c r="J1143" i="3"/>
  <c r="A1128" i="3"/>
  <c r="C982" i="3"/>
  <c r="C937" i="3"/>
  <c r="A885" i="3"/>
  <c r="C792" i="3"/>
  <c r="B628" i="3"/>
  <c r="C1045" i="3"/>
  <c r="A973" i="3"/>
  <c r="B916" i="3"/>
  <c r="B851" i="3"/>
  <c r="B816" i="3"/>
  <c r="A423" i="3"/>
  <c r="A547" i="3"/>
  <c r="C168" i="3"/>
  <c r="B82" i="3"/>
  <c r="B1078" i="3"/>
  <c r="J1055" i="3"/>
  <c r="J1081" i="3"/>
  <c r="J1113" i="3"/>
  <c r="J1142" i="3"/>
  <c r="C411" i="3"/>
  <c r="A66" i="3"/>
  <c r="C44" i="3"/>
  <c r="B20" i="3"/>
  <c r="A1148" i="3"/>
  <c r="B1148" i="3"/>
  <c r="A1125" i="3"/>
  <c r="B1125" i="3"/>
  <c r="A1091" i="3"/>
  <c r="B1091" i="3"/>
  <c r="A1067" i="3"/>
  <c r="B1067" i="3"/>
  <c r="A1031" i="3"/>
  <c r="B1031" i="3"/>
  <c r="A996" i="3"/>
  <c r="B996" i="3"/>
  <c r="A948" i="3"/>
  <c r="B948" i="3"/>
  <c r="A896" i="3"/>
  <c r="B896" i="3"/>
  <c r="A847" i="3"/>
  <c r="B847" i="3"/>
  <c r="A785" i="3"/>
  <c r="B785" i="3"/>
  <c r="A726" i="3"/>
  <c r="B726" i="3"/>
  <c r="A642" i="3"/>
  <c r="B642" i="3"/>
  <c r="A569" i="3"/>
  <c r="B569" i="3"/>
  <c r="A1044" i="3"/>
  <c r="B1044" i="3"/>
  <c r="A969" i="3"/>
  <c r="B969" i="3"/>
  <c r="A909" i="3"/>
  <c r="B909" i="3"/>
  <c r="A845" i="3"/>
  <c r="B845" i="3"/>
  <c r="A813" i="3"/>
  <c r="B813" i="3"/>
  <c r="A741" i="3"/>
  <c r="B741" i="3"/>
  <c r="A639" i="3"/>
  <c r="B639" i="3"/>
  <c r="B567" i="3"/>
  <c r="C567" i="3"/>
  <c r="B514" i="3"/>
  <c r="C514" i="3"/>
  <c r="B441" i="3"/>
  <c r="C441" i="3"/>
  <c r="A441" i="3"/>
  <c r="B860" i="3"/>
  <c r="C860" i="3"/>
  <c r="A860" i="3"/>
  <c r="B722" i="3"/>
  <c r="C722" i="3"/>
  <c r="A722" i="3"/>
  <c r="B677" i="3"/>
  <c r="C677" i="3"/>
  <c r="B585" i="3"/>
  <c r="C585" i="3"/>
  <c r="A585" i="3"/>
  <c r="B487" i="3"/>
  <c r="C487" i="3"/>
  <c r="A487" i="3"/>
  <c r="B420" i="3"/>
  <c r="C420" i="3"/>
  <c r="A420" i="3"/>
  <c r="B368" i="3"/>
  <c r="C368" i="3"/>
  <c r="B313" i="3"/>
  <c r="C313" i="3"/>
  <c r="A313" i="3"/>
  <c r="B609" i="3"/>
  <c r="C609" i="3"/>
  <c r="A609" i="3"/>
  <c r="B483" i="3"/>
  <c r="C483" i="3"/>
  <c r="A483" i="3"/>
  <c r="B401" i="3"/>
  <c r="C401" i="3"/>
  <c r="B349" i="3"/>
  <c r="C349" i="3"/>
  <c r="A349" i="3"/>
  <c r="B268" i="3"/>
  <c r="C268" i="3"/>
  <c r="A268" i="3"/>
  <c r="A217" i="3"/>
  <c r="A215" i="3"/>
  <c r="A165" i="3"/>
  <c r="A119" i="3"/>
  <c r="A76" i="3"/>
  <c r="C1067" i="3"/>
  <c r="C642" i="3"/>
  <c r="C639" i="3"/>
  <c r="J1092" i="3"/>
  <c r="J1120" i="3"/>
  <c r="J1149" i="3"/>
  <c r="C320" i="3"/>
  <c r="B44" i="3"/>
  <c r="A1140" i="3"/>
  <c r="B1140" i="3"/>
  <c r="C1140" i="3"/>
  <c r="A1112" i="3"/>
  <c r="B1112" i="3"/>
  <c r="C1112" i="3"/>
  <c r="A1084" i="3"/>
  <c r="B1084" i="3"/>
  <c r="C1084" i="3"/>
  <c r="A1052" i="3"/>
  <c r="B1052" i="3"/>
  <c r="C1052" i="3"/>
  <c r="A1019" i="3"/>
  <c r="B1019" i="3"/>
  <c r="C1019" i="3"/>
  <c r="A980" i="3"/>
  <c r="B980" i="3"/>
  <c r="C980" i="3"/>
  <c r="A931" i="3"/>
  <c r="B931" i="3"/>
  <c r="C931" i="3"/>
  <c r="A879" i="3"/>
  <c r="B879" i="3"/>
  <c r="C879" i="3"/>
  <c r="A829" i="3"/>
  <c r="B829" i="3"/>
  <c r="C829" i="3"/>
  <c r="A764" i="3"/>
  <c r="B764" i="3"/>
  <c r="C764" i="3"/>
  <c r="A701" i="3"/>
  <c r="B701" i="3"/>
  <c r="C701" i="3"/>
  <c r="A618" i="3"/>
  <c r="B618" i="3"/>
  <c r="C618" i="3"/>
  <c r="A1124" i="3"/>
  <c r="B1124" i="3"/>
  <c r="C1124" i="3"/>
  <c r="A1009" i="3"/>
  <c r="B1009" i="3"/>
  <c r="C1009" i="3"/>
  <c r="A959" i="3"/>
  <c r="B959" i="3"/>
  <c r="C959" i="3"/>
  <c r="A906" i="3"/>
  <c r="B906" i="3"/>
  <c r="C906" i="3"/>
  <c r="A842" i="3"/>
  <c r="B842" i="3"/>
  <c r="C842" i="3"/>
  <c r="A762" i="3"/>
  <c r="B762" i="3"/>
  <c r="C762" i="3"/>
  <c r="A700" i="3"/>
  <c r="B700" i="3"/>
  <c r="C700" i="3"/>
  <c r="A636" i="3"/>
  <c r="B636" i="3"/>
  <c r="C636" i="3"/>
  <c r="C544" i="3"/>
  <c r="A544" i="3"/>
  <c r="B544" i="3"/>
  <c r="C488" i="3"/>
  <c r="A488" i="3"/>
  <c r="B488" i="3"/>
  <c r="C405" i="3"/>
  <c r="A405" i="3"/>
  <c r="C811" i="3"/>
  <c r="A811" i="3"/>
  <c r="B811" i="3"/>
  <c r="C719" i="3"/>
  <c r="A719" i="3"/>
  <c r="B719" i="3"/>
  <c r="C614" i="3"/>
  <c r="A614" i="3"/>
  <c r="B614" i="3"/>
  <c r="C542" i="3"/>
  <c r="A542" i="3"/>
  <c r="C484" i="3"/>
  <c r="A484" i="3"/>
  <c r="B484" i="3"/>
  <c r="C404" i="3"/>
  <c r="A404" i="3"/>
  <c r="B404" i="3"/>
  <c r="C351" i="3"/>
  <c r="A351" i="3"/>
  <c r="B351" i="3"/>
  <c r="C269" i="3"/>
  <c r="A269" i="3"/>
  <c r="C538" i="3"/>
  <c r="A538" i="3"/>
  <c r="B538" i="3"/>
  <c r="C460" i="3"/>
  <c r="A460" i="3"/>
  <c r="B460" i="3"/>
  <c r="C381" i="3"/>
  <c r="A381" i="3"/>
  <c r="B381" i="3"/>
  <c r="C328" i="3"/>
  <c r="A328" i="3"/>
  <c r="C253" i="3"/>
  <c r="A253" i="3"/>
  <c r="B253" i="3"/>
  <c r="C201" i="3"/>
  <c r="A201" i="3"/>
  <c r="B201" i="3"/>
  <c r="A310" i="3"/>
  <c r="A251" i="3"/>
  <c r="B199" i="3"/>
  <c r="A139" i="3"/>
  <c r="A231" i="3"/>
  <c r="A151" i="3"/>
  <c r="B105" i="3"/>
  <c r="A104" i="3"/>
  <c r="A62" i="3"/>
  <c r="A40" i="3"/>
  <c r="B17" i="3"/>
  <c r="C948" i="3"/>
  <c r="C969" i="3"/>
  <c r="A368" i="3"/>
  <c r="A1132" i="3"/>
  <c r="B1132" i="3"/>
  <c r="C1132" i="3"/>
  <c r="A1105" i="3"/>
  <c r="B1105" i="3"/>
  <c r="C1105" i="3"/>
  <c r="A1069" i="3"/>
  <c r="B1069" i="3"/>
  <c r="C1069" i="3"/>
  <c r="A1040" i="3"/>
  <c r="B1040" i="3"/>
  <c r="C1040" i="3"/>
  <c r="A1010" i="3"/>
  <c r="B1010" i="3"/>
  <c r="C1010" i="3"/>
  <c r="A971" i="3"/>
  <c r="B971" i="3"/>
  <c r="C971" i="3"/>
  <c r="A911" i="3"/>
  <c r="B911" i="3"/>
  <c r="C911" i="3"/>
  <c r="A863" i="3"/>
  <c r="B863" i="3"/>
  <c r="C863" i="3"/>
  <c r="A800" i="3"/>
  <c r="B800" i="3"/>
  <c r="C800" i="3"/>
  <c r="A743" i="3"/>
  <c r="B743" i="3"/>
  <c r="C743" i="3"/>
  <c r="A661" i="3"/>
  <c r="B661" i="3"/>
  <c r="C661" i="3"/>
  <c r="A590" i="3"/>
  <c r="B590" i="3"/>
  <c r="C590" i="3"/>
  <c r="A1065" i="3"/>
  <c r="B1065" i="3"/>
  <c r="C1065" i="3"/>
  <c r="A992" i="3"/>
  <c r="B992" i="3"/>
  <c r="C992" i="3"/>
  <c r="A929" i="3"/>
  <c r="B929" i="3"/>
  <c r="C929" i="3"/>
  <c r="A876" i="3"/>
  <c r="B876" i="3"/>
  <c r="C876" i="3"/>
  <c r="A815" i="3"/>
  <c r="B815" i="3"/>
  <c r="C815" i="3"/>
  <c r="A759" i="3"/>
  <c r="B759" i="3"/>
  <c r="C759" i="3"/>
  <c r="A659" i="3"/>
  <c r="B659" i="3"/>
  <c r="C659" i="3"/>
  <c r="A588" i="3"/>
  <c r="B588" i="3"/>
  <c r="C588" i="3"/>
  <c r="A526" i="3"/>
  <c r="B526" i="3"/>
  <c r="C526" i="3"/>
  <c r="A443" i="3"/>
  <c r="B443" i="3"/>
  <c r="C443" i="3"/>
  <c r="A926" i="3"/>
  <c r="B926" i="3"/>
  <c r="C926" i="3"/>
  <c r="A758" i="3"/>
  <c r="B758" i="3"/>
  <c r="A679" i="3"/>
  <c r="B679" i="3"/>
  <c r="C679" i="3"/>
  <c r="A611" i="3"/>
  <c r="B611" i="3"/>
  <c r="C611" i="3"/>
  <c r="A513" i="3"/>
  <c r="B513" i="3"/>
  <c r="C513" i="3"/>
  <c r="A440" i="3"/>
  <c r="B440" i="3"/>
  <c r="A384" i="3"/>
  <c r="B384" i="3"/>
  <c r="C384" i="3"/>
  <c r="A315" i="3"/>
  <c r="B315" i="3"/>
  <c r="C315" i="3"/>
  <c r="A675" i="3"/>
  <c r="B675" i="3"/>
  <c r="C675" i="3"/>
  <c r="A509" i="3"/>
  <c r="B509" i="3"/>
  <c r="A436" i="3"/>
  <c r="B436" i="3"/>
  <c r="C436" i="3"/>
  <c r="A366" i="3"/>
  <c r="B366" i="3"/>
  <c r="C366" i="3"/>
  <c r="A290" i="3"/>
  <c r="B290" i="3"/>
  <c r="C290" i="3"/>
  <c r="A236" i="3"/>
  <c r="B236" i="3"/>
  <c r="A400" i="3"/>
  <c r="B400" i="3"/>
  <c r="C400" i="3"/>
  <c r="A287" i="3"/>
  <c r="B287" i="3"/>
  <c r="C287" i="3"/>
  <c r="A234" i="3"/>
  <c r="B234" i="3"/>
  <c r="C234" i="3"/>
  <c r="A167" i="3"/>
  <c r="B167" i="3"/>
  <c r="A122" i="3"/>
  <c r="B122" i="3"/>
  <c r="C122" i="3"/>
  <c r="A181" i="3"/>
  <c r="B181" i="3"/>
  <c r="C181" i="3"/>
  <c r="A135" i="3"/>
  <c r="B135" i="3"/>
  <c r="C135" i="3"/>
  <c r="A90" i="3"/>
  <c r="B90" i="3"/>
  <c r="A88" i="3"/>
  <c r="B88" i="3"/>
  <c r="C88" i="3"/>
  <c r="A52" i="3"/>
  <c r="B52" i="3"/>
  <c r="C52" i="3"/>
  <c r="A28" i="3"/>
  <c r="B28" i="3"/>
  <c r="C28" i="3"/>
  <c r="C1125" i="3"/>
  <c r="C785" i="3"/>
  <c r="C813" i="3"/>
  <c r="A567" i="3"/>
  <c r="B269" i="3"/>
  <c r="A1035" i="3"/>
  <c r="A1020" i="3"/>
  <c r="A1001" i="3"/>
  <c r="A981" i="3"/>
  <c r="A953" i="3"/>
  <c r="A936" i="3"/>
  <c r="A897" i="3"/>
  <c r="A852" i="3"/>
  <c r="A833" i="3"/>
  <c r="A791" i="3"/>
  <c r="A771" i="3"/>
  <c r="A688" i="3"/>
  <c r="A648" i="3"/>
  <c r="A627" i="3"/>
  <c r="A576" i="3"/>
  <c r="A1101" i="3"/>
  <c r="A1033" i="3"/>
  <c r="A1012" i="3"/>
  <c r="A964" i="3"/>
  <c r="A951" i="3"/>
  <c r="A915" i="3"/>
  <c r="A850" i="3"/>
  <c r="A832" i="3"/>
  <c r="A803" i="3"/>
  <c r="A769" i="3"/>
  <c r="C706" i="3"/>
  <c r="B645" i="3"/>
  <c r="C626" i="3"/>
  <c r="B574" i="3"/>
  <c r="C551" i="3"/>
  <c r="A789" i="3"/>
  <c r="A623" i="3"/>
  <c r="A593" i="3"/>
  <c r="A1147" i="3"/>
  <c r="B1147" i="3"/>
  <c r="C1147" i="3"/>
  <c r="A1118" i="3"/>
  <c r="B1118" i="3"/>
  <c r="C1118" i="3"/>
  <c r="A1090" i="3"/>
  <c r="B1090" i="3"/>
  <c r="C1090" i="3"/>
  <c r="A1066" i="3"/>
  <c r="B1066" i="3"/>
  <c r="C1066" i="3"/>
  <c r="A1030" i="3"/>
  <c r="B1030" i="3"/>
  <c r="C1030" i="3"/>
  <c r="A995" i="3"/>
  <c r="B995" i="3"/>
  <c r="C995" i="3"/>
  <c r="A947" i="3"/>
  <c r="B947" i="3"/>
  <c r="C947" i="3"/>
  <c r="A895" i="3"/>
  <c r="B895" i="3"/>
  <c r="C895" i="3"/>
  <c r="A846" i="3"/>
  <c r="B846" i="3"/>
  <c r="C846" i="3"/>
  <c r="A784" i="3"/>
  <c r="B784" i="3"/>
  <c r="C784" i="3"/>
  <c r="A725" i="3"/>
  <c r="B725" i="3"/>
  <c r="C725" i="3"/>
  <c r="A641" i="3"/>
  <c r="B641" i="3"/>
  <c r="C641" i="3"/>
  <c r="A568" i="3"/>
  <c r="B568" i="3"/>
  <c r="C568" i="3"/>
  <c r="A1028" i="3"/>
  <c r="B1028" i="3"/>
  <c r="C1028" i="3"/>
  <c r="A961" i="3"/>
  <c r="B961" i="3"/>
  <c r="C961" i="3"/>
  <c r="A908" i="3"/>
  <c r="B908" i="3"/>
  <c r="C908" i="3"/>
  <c r="A844" i="3"/>
  <c r="B844" i="3"/>
  <c r="C844" i="3"/>
  <c r="A799" i="3"/>
  <c r="B799" i="3"/>
  <c r="C799" i="3"/>
  <c r="A724" i="3"/>
  <c r="B724" i="3"/>
  <c r="C724" i="3"/>
  <c r="A638" i="3"/>
  <c r="B638" i="3"/>
  <c r="C638" i="3"/>
  <c r="A566" i="3"/>
  <c r="B566" i="3"/>
  <c r="C566" i="3"/>
  <c r="A490" i="3"/>
  <c r="B490" i="3"/>
  <c r="C490" i="3"/>
  <c r="A422" i="3"/>
  <c r="B422" i="3"/>
  <c r="C422" i="3"/>
  <c r="A859" i="3"/>
  <c r="B859" i="3"/>
  <c r="C859" i="3"/>
  <c r="A721" i="3"/>
  <c r="B721" i="3"/>
  <c r="C721" i="3"/>
  <c r="A657" i="3"/>
  <c r="B657" i="3"/>
  <c r="C657" i="3"/>
  <c r="A564" i="3"/>
  <c r="B564" i="3"/>
  <c r="C564" i="3"/>
  <c r="A486" i="3"/>
  <c r="B486" i="3"/>
  <c r="C486" i="3"/>
  <c r="A419" i="3"/>
  <c r="B419" i="3"/>
  <c r="C419" i="3"/>
  <c r="A353" i="3"/>
  <c r="B353" i="3"/>
  <c r="C353" i="3"/>
  <c r="A292" i="3"/>
  <c r="B292" i="3"/>
  <c r="C292" i="3"/>
  <c r="A562" i="3"/>
  <c r="B562" i="3"/>
  <c r="C562" i="3"/>
  <c r="A482" i="3"/>
  <c r="B482" i="3"/>
  <c r="C482" i="3"/>
  <c r="A383" i="3"/>
  <c r="B383" i="3"/>
  <c r="C383" i="3"/>
  <c r="A330" i="3"/>
  <c r="B330" i="3"/>
  <c r="C330" i="3"/>
  <c r="A267" i="3"/>
  <c r="B267" i="3"/>
  <c r="C267" i="3"/>
  <c r="A216" i="3"/>
  <c r="B216" i="3"/>
  <c r="C216" i="3"/>
  <c r="C1031" i="3"/>
  <c r="C569" i="3"/>
  <c r="A514" i="3"/>
  <c r="C509" i="3"/>
  <c r="B79" i="3"/>
  <c r="C57" i="3"/>
  <c r="C22" i="3"/>
  <c r="A6" i="3"/>
  <c r="B6" i="3"/>
  <c r="C6" i="3"/>
  <c r="A1139" i="3"/>
  <c r="B1139" i="3"/>
  <c r="C1139" i="3"/>
  <c r="A1111" i="3"/>
  <c r="B1111" i="3"/>
  <c r="C1111" i="3"/>
  <c r="A1079" i="3"/>
  <c r="B1079" i="3"/>
  <c r="C1079" i="3"/>
  <c r="A1051" i="3"/>
  <c r="B1051" i="3"/>
  <c r="C1051" i="3"/>
  <c r="A1018" i="3"/>
  <c r="B1018" i="3"/>
  <c r="C1018" i="3"/>
  <c r="A979" i="3"/>
  <c r="B979" i="3"/>
  <c r="C979" i="3"/>
  <c r="A930" i="3"/>
  <c r="B930" i="3"/>
  <c r="C930" i="3"/>
  <c r="A878" i="3"/>
  <c r="B878" i="3"/>
  <c r="C878" i="3"/>
  <c r="A828" i="3"/>
  <c r="B828" i="3"/>
  <c r="C828" i="3"/>
  <c r="A763" i="3"/>
  <c r="B763" i="3"/>
  <c r="C763" i="3"/>
  <c r="A681" i="3"/>
  <c r="B681" i="3"/>
  <c r="C681" i="3"/>
  <c r="A617" i="3"/>
  <c r="B617" i="3"/>
  <c r="C617" i="3"/>
  <c r="A1098" i="3"/>
  <c r="B1098" i="3"/>
  <c r="C1098" i="3"/>
  <c r="A1008" i="3"/>
  <c r="B1008" i="3"/>
  <c r="C1008" i="3"/>
  <c r="A945" i="3"/>
  <c r="B945" i="3"/>
  <c r="C945" i="3"/>
  <c r="A890" i="3"/>
  <c r="B890" i="3"/>
  <c r="C890" i="3"/>
  <c r="A827" i="3"/>
  <c r="B827" i="3"/>
  <c r="C827" i="3"/>
  <c r="A761" i="3"/>
  <c r="B761" i="3"/>
  <c r="C761" i="3"/>
  <c r="A699" i="3"/>
  <c r="B699" i="3"/>
  <c r="C699" i="3"/>
  <c r="B616" i="3"/>
  <c r="C616" i="3"/>
  <c r="A616" i="3"/>
  <c r="B543" i="3"/>
  <c r="C543" i="3"/>
  <c r="A543" i="3"/>
  <c r="A465" i="3"/>
  <c r="B465" i="3"/>
  <c r="C465" i="3"/>
  <c r="A984" i="3"/>
  <c r="B984" i="3"/>
  <c r="C984" i="3"/>
  <c r="A782" i="3"/>
  <c r="B782" i="3"/>
  <c r="C782" i="3"/>
  <c r="A697" i="3"/>
  <c r="B697" i="3"/>
  <c r="C697" i="3"/>
  <c r="A613" i="3"/>
  <c r="B613" i="3"/>
  <c r="C613" i="3"/>
  <c r="A541" i="3"/>
  <c r="B541" i="3"/>
  <c r="C541" i="3"/>
  <c r="A463" i="3"/>
  <c r="B463" i="3"/>
  <c r="C463" i="3"/>
  <c r="A403" i="3"/>
  <c r="B403" i="3"/>
  <c r="C403" i="3"/>
  <c r="A332" i="3"/>
  <c r="B332" i="3"/>
  <c r="C332" i="3"/>
  <c r="A780" i="3"/>
  <c r="B780" i="3"/>
  <c r="C780" i="3"/>
  <c r="A511" i="3"/>
  <c r="B511" i="3"/>
  <c r="C511" i="3"/>
  <c r="A438" i="3"/>
  <c r="B438" i="3"/>
  <c r="C438" i="3"/>
  <c r="A380" i="3"/>
  <c r="B380" i="3"/>
  <c r="C380" i="3"/>
  <c r="A312" i="3"/>
  <c r="B312" i="3"/>
  <c r="C312" i="3"/>
  <c r="A252" i="3"/>
  <c r="B252" i="3"/>
  <c r="C252" i="3"/>
  <c r="C896" i="3"/>
  <c r="C909" i="3"/>
  <c r="B405" i="3"/>
  <c r="A401" i="3"/>
  <c r="C90" i="3"/>
  <c r="J1080" i="3"/>
  <c r="J1108" i="3"/>
  <c r="J1135" i="3"/>
  <c r="A274" i="3"/>
  <c r="B57" i="3"/>
  <c r="C55" i="3"/>
  <c r="B22" i="3"/>
  <c r="A1152" i="3"/>
  <c r="B1152" i="3"/>
  <c r="C1152" i="3"/>
  <c r="A1126" i="3"/>
  <c r="B1126" i="3"/>
  <c r="C1126" i="3"/>
  <c r="A1099" i="3"/>
  <c r="B1099" i="3"/>
  <c r="C1099" i="3"/>
  <c r="A1068" i="3"/>
  <c r="B1068" i="3"/>
  <c r="C1068" i="3"/>
  <c r="A1039" i="3"/>
  <c r="B1039" i="3"/>
  <c r="C1039" i="3"/>
  <c r="A997" i="3"/>
  <c r="B997" i="3"/>
  <c r="C997" i="3"/>
  <c r="A949" i="3"/>
  <c r="B949" i="3"/>
  <c r="C949" i="3"/>
  <c r="A910" i="3"/>
  <c r="B910" i="3"/>
  <c r="C910" i="3"/>
  <c r="A862" i="3"/>
  <c r="B862" i="3"/>
  <c r="C862" i="3"/>
  <c r="A786" i="3"/>
  <c r="B786" i="3"/>
  <c r="C786" i="3"/>
  <c r="A727" i="3"/>
  <c r="B727" i="3"/>
  <c r="C727" i="3"/>
  <c r="A660" i="3"/>
  <c r="B660" i="3"/>
  <c r="C660" i="3"/>
  <c r="A589" i="3"/>
  <c r="B589" i="3"/>
  <c r="C589" i="3"/>
  <c r="A1064" i="3"/>
  <c r="B1064" i="3"/>
  <c r="C1064" i="3"/>
  <c r="A970" i="3"/>
  <c r="B970" i="3"/>
  <c r="C970" i="3"/>
  <c r="A928" i="3"/>
  <c r="B928" i="3"/>
  <c r="C928" i="3"/>
  <c r="A875" i="3"/>
  <c r="B875" i="3"/>
  <c r="C875" i="3"/>
  <c r="A814" i="3"/>
  <c r="B814" i="3"/>
  <c r="C814" i="3"/>
  <c r="A742" i="3"/>
  <c r="B742" i="3"/>
  <c r="C742" i="3"/>
  <c r="A658" i="3"/>
  <c r="B658" i="3"/>
  <c r="C658" i="3"/>
  <c r="A587" i="3"/>
  <c r="C587" i="3"/>
  <c r="B587" i="3"/>
  <c r="A515" i="3"/>
  <c r="B515" i="3"/>
  <c r="C515" i="3"/>
  <c r="A442" i="3"/>
  <c r="B442" i="3"/>
  <c r="C442" i="3"/>
  <c r="A861" i="3"/>
  <c r="B861" i="3"/>
  <c r="C861" i="3"/>
  <c r="A757" i="3"/>
  <c r="B757" i="3"/>
  <c r="C757" i="3"/>
  <c r="A678" i="3"/>
  <c r="B678" i="3"/>
  <c r="C678" i="3"/>
  <c r="A586" i="3"/>
  <c r="B586" i="3"/>
  <c r="C586" i="3"/>
  <c r="A512" i="3"/>
  <c r="B512" i="3"/>
  <c r="C512" i="3"/>
  <c r="A439" i="3"/>
  <c r="B439" i="3"/>
  <c r="C439" i="3"/>
  <c r="A369" i="3"/>
  <c r="B369" i="3"/>
  <c r="C369" i="3"/>
  <c r="A314" i="3"/>
  <c r="B314" i="3"/>
  <c r="C314" i="3"/>
  <c r="A610" i="3"/>
  <c r="B610" i="3"/>
  <c r="C610" i="3"/>
  <c r="A508" i="3"/>
  <c r="B508" i="3"/>
  <c r="C508" i="3"/>
  <c r="A402" i="3"/>
  <c r="B402" i="3"/>
  <c r="C402" i="3"/>
  <c r="A350" i="3"/>
  <c r="B350" i="3"/>
  <c r="C350" i="3"/>
  <c r="A289" i="3"/>
  <c r="B289" i="3"/>
  <c r="C289" i="3"/>
  <c r="A218" i="3"/>
  <c r="B218" i="3"/>
  <c r="C218" i="3"/>
  <c r="C1091" i="3"/>
  <c r="C726" i="3"/>
  <c r="C741" i="3"/>
  <c r="C758" i="3"/>
  <c r="B328" i="3"/>
  <c r="J1057" i="3"/>
  <c r="J1087" i="3"/>
  <c r="J1119" i="3"/>
  <c r="J1144" i="3"/>
  <c r="A492" i="3"/>
  <c r="C56" i="3"/>
  <c r="A43" i="3"/>
  <c r="C32" i="3"/>
  <c r="A21" i="3"/>
  <c r="B1141" i="3"/>
  <c r="C1141" i="3"/>
  <c r="B1117" i="3"/>
  <c r="C1117" i="3"/>
  <c r="B1085" i="3"/>
  <c r="C1085" i="3"/>
  <c r="B1053" i="3"/>
  <c r="C1053" i="3"/>
  <c r="B1029" i="3"/>
  <c r="C1029" i="3"/>
  <c r="B994" i="3"/>
  <c r="C994" i="3"/>
  <c r="B946" i="3"/>
  <c r="C946" i="3"/>
  <c r="B880" i="3"/>
  <c r="C880" i="3"/>
  <c r="B830" i="3"/>
  <c r="C830" i="3"/>
  <c r="B783" i="3"/>
  <c r="C783" i="3"/>
  <c r="B702" i="3"/>
  <c r="C702" i="3"/>
  <c r="B640" i="3"/>
  <c r="C640" i="3"/>
  <c r="B545" i="3"/>
  <c r="C545" i="3"/>
  <c r="B1027" i="3"/>
  <c r="C1027" i="3"/>
  <c r="B960" i="3"/>
  <c r="C960" i="3"/>
  <c r="B907" i="3"/>
  <c r="C907" i="3"/>
  <c r="B843" i="3"/>
  <c r="C843" i="3"/>
  <c r="B798" i="3"/>
  <c r="C798" i="3"/>
  <c r="B723" i="3"/>
  <c r="C723" i="3"/>
  <c r="B637" i="3"/>
  <c r="C637" i="3"/>
  <c r="A565" i="3"/>
  <c r="B565" i="3"/>
  <c r="C565" i="3"/>
  <c r="A489" i="3"/>
  <c r="B489" i="3"/>
  <c r="C489" i="3"/>
  <c r="A421" i="3"/>
  <c r="B421" i="3"/>
  <c r="C421" i="3"/>
  <c r="A812" i="3"/>
  <c r="B812" i="3"/>
  <c r="C812" i="3"/>
  <c r="A720" i="3"/>
  <c r="B720" i="3"/>
  <c r="C720" i="3"/>
  <c r="A656" i="3"/>
  <c r="B656" i="3"/>
  <c r="C656" i="3"/>
  <c r="A563" i="3"/>
  <c r="B563" i="3"/>
  <c r="C563" i="3"/>
  <c r="A485" i="3"/>
  <c r="B485" i="3"/>
  <c r="C485" i="3"/>
  <c r="A418" i="3"/>
  <c r="B418" i="3"/>
  <c r="C418" i="3"/>
  <c r="A352" i="3"/>
  <c r="B352" i="3"/>
  <c r="C352" i="3"/>
  <c r="A291" i="3"/>
  <c r="B291" i="3"/>
  <c r="C291" i="3"/>
  <c r="A539" i="3"/>
  <c r="B539" i="3"/>
  <c r="C539" i="3"/>
  <c r="A461" i="3"/>
  <c r="B461" i="3"/>
  <c r="C461" i="3"/>
  <c r="A382" i="3"/>
  <c r="B382" i="3"/>
  <c r="C382" i="3"/>
  <c r="A329" i="3"/>
  <c r="B329" i="3"/>
  <c r="C329" i="3"/>
  <c r="A254" i="3"/>
  <c r="B254" i="3"/>
  <c r="C254" i="3"/>
  <c r="A202" i="3"/>
  <c r="B202" i="3"/>
  <c r="C202" i="3"/>
  <c r="A1085" i="3"/>
  <c r="C996" i="3"/>
  <c r="A702" i="3"/>
  <c r="C1044" i="3"/>
  <c r="A723" i="3"/>
  <c r="A677" i="3"/>
  <c r="C236" i="3"/>
  <c r="A347" i="3"/>
  <c r="B347" i="3"/>
  <c r="A266" i="3"/>
  <c r="B266" i="3"/>
  <c r="A214" i="3"/>
  <c r="B214" i="3"/>
  <c r="A153" i="3"/>
  <c r="B153" i="3"/>
  <c r="A284" i="3"/>
  <c r="B284" i="3"/>
  <c r="A164" i="3"/>
  <c r="B164" i="3"/>
  <c r="A118" i="3"/>
  <c r="B118" i="3"/>
  <c r="A64" i="3"/>
  <c r="B64" i="3"/>
  <c r="A73" i="3"/>
  <c r="B73" i="3"/>
  <c r="A30" i="3"/>
  <c r="B30" i="3"/>
  <c r="A18" i="3"/>
  <c r="B18" i="3"/>
  <c r="C347" i="3"/>
  <c r="C284" i="3"/>
  <c r="C73" i="3"/>
  <c r="A184" i="3"/>
  <c r="B184" i="3"/>
  <c r="C184" i="3"/>
  <c r="A309" i="3"/>
  <c r="B309" i="3"/>
  <c r="C309" i="3"/>
  <c r="A250" i="3"/>
  <c r="B250" i="3"/>
  <c r="C250" i="3"/>
  <c r="A183" i="3"/>
  <c r="B183" i="3"/>
  <c r="C183" i="3"/>
  <c r="A138" i="3"/>
  <c r="B138" i="3"/>
  <c r="C138" i="3"/>
  <c r="A198" i="3"/>
  <c r="B198" i="3"/>
  <c r="C198" i="3"/>
  <c r="A150" i="3"/>
  <c r="B150" i="3"/>
  <c r="C150" i="3"/>
  <c r="A92" i="3"/>
  <c r="B92" i="3"/>
  <c r="C92" i="3"/>
  <c r="A103" i="3"/>
  <c r="B103" i="3"/>
  <c r="C103" i="3"/>
  <c r="A54" i="3"/>
  <c r="B54" i="3"/>
  <c r="C54" i="3"/>
  <c r="A39" i="3"/>
  <c r="B39" i="3"/>
  <c r="C39" i="3"/>
  <c r="A10" i="3"/>
  <c r="B10" i="3"/>
  <c r="C10" i="3"/>
  <c r="B310" i="3"/>
  <c r="B231" i="3"/>
  <c r="B62" i="3"/>
  <c r="A399" i="3"/>
  <c r="B399" i="3"/>
  <c r="C399" i="3"/>
  <c r="A286" i="3"/>
  <c r="B286" i="3"/>
  <c r="C286" i="3"/>
  <c r="A233" i="3"/>
  <c r="B233" i="3"/>
  <c r="C233" i="3"/>
  <c r="A166" i="3"/>
  <c r="B166" i="3"/>
  <c r="C166" i="3"/>
  <c r="A121" i="3"/>
  <c r="B121" i="3"/>
  <c r="C121" i="3"/>
  <c r="A180" i="3"/>
  <c r="B180" i="3"/>
  <c r="C180" i="3"/>
  <c r="A120" i="3"/>
  <c r="B120" i="3"/>
  <c r="C120" i="3"/>
  <c r="A77" i="3"/>
  <c r="B77" i="3"/>
  <c r="C77" i="3"/>
  <c r="A75" i="3"/>
  <c r="B75" i="3"/>
  <c r="C75" i="3"/>
  <c r="A42" i="3"/>
  <c r="B42" i="3"/>
  <c r="C42" i="3"/>
  <c r="A27" i="3"/>
  <c r="B27" i="3"/>
  <c r="C27" i="3"/>
  <c r="C153" i="3"/>
  <c r="C64" i="3"/>
  <c r="A346" i="3"/>
  <c r="B346" i="3"/>
  <c r="C346" i="3"/>
  <c r="A265" i="3"/>
  <c r="B265" i="3"/>
  <c r="C265" i="3"/>
  <c r="A200" i="3"/>
  <c r="B200" i="3"/>
  <c r="C200" i="3"/>
  <c r="A152" i="3"/>
  <c r="B152" i="3"/>
  <c r="C152" i="3"/>
  <c r="A232" i="3"/>
  <c r="B232" i="3"/>
  <c r="C232" i="3"/>
  <c r="A163" i="3"/>
  <c r="B163" i="3"/>
  <c r="C163" i="3"/>
  <c r="A106" i="3"/>
  <c r="B106" i="3"/>
  <c r="C106" i="3"/>
  <c r="A134" i="3"/>
  <c r="B134" i="3"/>
  <c r="C134" i="3"/>
  <c r="A63" i="3"/>
  <c r="B63" i="3"/>
  <c r="C63" i="3"/>
  <c r="A51" i="3"/>
  <c r="B51" i="3"/>
  <c r="C51" i="3"/>
  <c r="A11" i="3"/>
  <c r="B11" i="3"/>
  <c r="C11" i="3"/>
  <c r="B139" i="3"/>
  <c r="B104" i="3"/>
  <c r="A459" i="3"/>
  <c r="B459" i="3"/>
  <c r="C459" i="3"/>
  <c r="A288" i="3"/>
  <c r="B288" i="3"/>
  <c r="C288" i="3"/>
  <c r="A235" i="3"/>
  <c r="B235" i="3"/>
  <c r="C235" i="3"/>
  <c r="A182" i="3"/>
  <c r="B182" i="3"/>
  <c r="C182" i="3"/>
  <c r="A137" i="3"/>
  <c r="B137" i="3"/>
  <c r="C137" i="3"/>
  <c r="A197" i="3"/>
  <c r="B197" i="3"/>
  <c r="C197" i="3"/>
  <c r="A136" i="3"/>
  <c r="B136" i="3"/>
  <c r="C136" i="3"/>
  <c r="A91" i="3"/>
  <c r="B91" i="3"/>
  <c r="C91" i="3"/>
  <c r="A89" i="3"/>
  <c r="B89" i="3"/>
  <c r="C89" i="3"/>
  <c r="A53" i="3"/>
  <c r="B53" i="3"/>
  <c r="C53" i="3"/>
  <c r="A29" i="3"/>
  <c r="B29" i="3"/>
  <c r="C29" i="3"/>
  <c r="C214" i="3"/>
  <c r="C118" i="3"/>
  <c r="C18" i="3"/>
  <c r="B217" i="3"/>
  <c r="C217" i="3"/>
  <c r="B348" i="3"/>
  <c r="C348" i="3"/>
  <c r="B285" i="3"/>
  <c r="C285" i="3"/>
  <c r="B215" i="3"/>
  <c r="C215" i="3"/>
  <c r="B165" i="3"/>
  <c r="C165" i="3"/>
  <c r="B107" i="3"/>
  <c r="C107" i="3"/>
  <c r="B179" i="3"/>
  <c r="C179" i="3"/>
  <c r="B119" i="3"/>
  <c r="C119" i="3"/>
  <c r="B76" i="3"/>
  <c r="C76" i="3"/>
  <c r="B74" i="3"/>
  <c r="C74" i="3"/>
  <c r="B41" i="3"/>
  <c r="C41" i="3"/>
  <c r="B19" i="3"/>
  <c r="C19" i="3"/>
  <c r="A285" i="3"/>
  <c r="A179" i="3"/>
  <c r="A41" i="3"/>
  <c r="C310" i="3"/>
  <c r="C251" i="3"/>
  <c r="C199" i="3"/>
  <c r="C139" i="3"/>
  <c r="C231" i="3"/>
  <c r="C151" i="3"/>
  <c r="C105" i="3"/>
  <c r="C104" i="3"/>
  <c r="C62" i="3"/>
  <c r="C40" i="3"/>
  <c r="C17" i="3"/>
  <c r="C266" i="3"/>
  <c r="A199" i="3"/>
  <c r="C164" i="3"/>
  <c r="A105" i="3"/>
  <c r="C30" i="3"/>
  <c r="A17" i="3"/>
  <c r="C1003" i="3"/>
  <c r="B955" i="3"/>
  <c r="A917" i="3"/>
  <c r="C1070" i="3"/>
  <c r="B974" i="3"/>
  <c r="A934" i="3"/>
  <c r="A626" i="3"/>
  <c r="C685" i="3"/>
  <c r="B593" i="3"/>
  <c r="C1153" i="3"/>
  <c r="C1041" i="3"/>
  <c r="B1003" i="3"/>
  <c r="C596" i="3"/>
  <c r="B1070" i="3"/>
  <c r="A645" i="3"/>
  <c r="C866" i="3"/>
  <c r="C765" i="3"/>
  <c r="B685" i="3"/>
  <c r="C1074" i="3"/>
  <c r="B1041" i="3"/>
  <c r="C666" i="3"/>
  <c r="B596" i="3"/>
  <c r="C450" i="3"/>
  <c r="B866" i="3"/>
  <c r="B765" i="3"/>
  <c r="C1102" i="3"/>
  <c r="B1074" i="3"/>
  <c r="C736" i="3"/>
  <c r="B666" i="3"/>
  <c r="C746" i="3"/>
  <c r="C664" i="3"/>
  <c r="C523" i="3"/>
  <c r="B450" i="3"/>
  <c r="C1129" i="3"/>
  <c r="B1102" i="3"/>
  <c r="C793" i="3"/>
  <c r="B736" i="3"/>
  <c r="C819" i="3"/>
  <c r="B746" i="3"/>
  <c r="B664" i="3"/>
  <c r="C594" i="3"/>
  <c r="B523" i="3"/>
  <c r="B1129" i="3"/>
  <c r="C867" i="3"/>
  <c r="B793" i="3"/>
  <c r="C881" i="3"/>
  <c r="B819" i="3"/>
  <c r="B594" i="3"/>
  <c r="C493" i="3"/>
  <c r="B411" i="3"/>
  <c r="C372" i="3"/>
  <c r="A359" i="3"/>
  <c r="B320" i="3"/>
  <c r="A619" i="3"/>
  <c r="C258" i="3"/>
  <c r="B207" i="3"/>
  <c r="C356" i="3"/>
  <c r="A317" i="3"/>
  <c r="B294" i="3"/>
  <c r="A220" i="3"/>
  <c r="C110" i="3"/>
  <c r="B109" i="3"/>
  <c r="B493" i="3"/>
  <c r="C425" i="3"/>
  <c r="B372" i="3"/>
  <c r="C333" i="3"/>
  <c r="B258" i="3"/>
  <c r="C222" i="3"/>
  <c r="B356" i="3"/>
  <c r="C155" i="3"/>
  <c r="B110" i="3"/>
  <c r="C81" i="3"/>
  <c r="C496" i="3"/>
  <c r="B425" i="3"/>
  <c r="C387" i="3"/>
  <c r="B333" i="3"/>
  <c r="C273" i="3"/>
  <c r="B222" i="3"/>
  <c r="C238" i="3"/>
  <c r="B155" i="3"/>
  <c r="C124" i="3"/>
  <c r="B81" i="3"/>
  <c r="B496" i="3"/>
  <c r="C467" i="3"/>
  <c r="B387" i="3"/>
  <c r="C357" i="3"/>
  <c r="B273" i="3"/>
  <c r="C145" i="3"/>
  <c r="B238" i="3"/>
  <c r="C185" i="3"/>
  <c r="B124" i="3"/>
  <c r="C546" i="3"/>
  <c r="B467" i="3"/>
  <c r="C408" i="3"/>
  <c r="B357" i="3"/>
  <c r="C205" i="3"/>
  <c r="B145" i="3"/>
  <c r="C112" i="3"/>
  <c r="B185" i="3"/>
  <c r="C274" i="3"/>
  <c r="B546" i="3"/>
  <c r="C492" i="3"/>
  <c r="B408" i="3"/>
  <c r="C256" i="3"/>
  <c r="B205" i="3"/>
  <c r="C170" i="3"/>
  <c r="B112" i="3"/>
  <c r="A32" i="3"/>
  <c r="C43" i="3"/>
  <c r="B43" i="3"/>
  <c r="C21" i="3"/>
  <c r="B21" i="3"/>
  <c r="A932" i="3"/>
  <c r="B932" i="3"/>
  <c r="B704" i="3"/>
  <c r="C704" i="3"/>
  <c r="A521" i="3"/>
  <c r="B521" i="3"/>
  <c r="A390" i="3"/>
  <c r="B390" i="3"/>
  <c r="A570" i="3"/>
  <c r="B570" i="3"/>
  <c r="C570" i="3"/>
  <c r="A386" i="3"/>
  <c r="B386" i="3"/>
  <c r="C386" i="3"/>
  <c r="A299" i="3"/>
  <c r="B299" i="3"/>
  <c r="A407" i="3"/>
  <c r="B407" i="3"/>
  <c r="A189" i="3"/>
  <c r="B189" i="3"/>
  <c r="C189" i="3"/>
  <c r="A187" i="3"/>
  <c r="B187" i="3"/>
  <c r="A123" i="3"/>
  <c r="B123" i="3"/>
  <c r="C123" i="3"/>
  <c r="A58" i="3"/>
  <c r="B58" i="3"/>
  <c r="C58" i="3"/>
  <c r="C1134" i="3"/>
  <c r="C918" i="3"/>
  <c r="C868" i="3"/>
  <c r="C767" i="3"/>
  <c r="C1149" i="3"/>
  <c r="B1134" i="3"/>
  <c r="C1120" i="3"/>
  <c r="B1107" i="3"/>
  <c r="C1092" i="3"/>
  <c r="B1075" i="3"/>
  <c r="C1072" i="3"/>
  <c r="B1042" i="3"/>
  <c r="C1035" i="3"/>
  <c r="B1014" i="3"/>
  <c r="C1001" i="3"/>
  <c r="B975" i="3"/>
  <c r="C953" i="3"/>
  <c r="B918" i="3"/>
  <c r="C897" i="3"/>
  <c r="B868" i="3"/>
  <c r="C852" i="3"/>
  <c r="B804" i="3"/>
  <c r="C791" i="3"/>
  <c r="B747" i="3"/>
  <c r="C734" i="3"/>
  <c r="B667" i="3"/>
  <c r="C648" i="3"/>
  <c r="B597" i="3"/>
  <c r="C576" i="3"/>
  <c r="B1071" i="3"/>
  <c r="C1033" i="3"/>
  <c r="B998" i="3"/>
  <c r="C964" i="3"/>
  <c r="B935" i="3"/>
  <c r="C915" i="3"/>
  <c r="B882" i="3"/>
  <c r="C850" i="3"/>
  <c r="B820" i="3"/>
  <c r="C803" i="3"/>
  <c r="B767" i="3"/>
  <c r="C733" i="3"/>
  <c r="B706" i="3"/>
  <c r="B472" i="3"/>
  <c r="C472" i="3"/>
  <c r="B789" i="3"/>
  <c r="C789" i="3"/>
  <c r="B623" i="3"/>
  <c r="C623" i="3"/>
  <c r="A470" i="3"/>
  <c r="B470" i="3"/>
  <c r="C470" i="3"/>
  <c r="A361" i="3"/>
  <c r="B361" i="3"/>
  <c r="C361" i="3"/>
  <c r="A519" i="3"/>
  <c r="B519" i="3"/>
  <c r="C519" i="3"/>
  <c r="A389" i="3"/>
  <c r="B389" i="3"/>
  <c r="C389" i="3"/>
  <c r="A272" i="3"/>
  <c r="B272" i="3"/>
  <c r="C272" i="3"/>
  <c r="A355" i="3"/>
  <c r="B355" i="3"/>
  <c r="C355" i="3"/>
  <c r="A219" i="3"/>
  <c r="B219" i="3"/>
  <c r="C219" i="3"/>
  <c r="A204" i="3"/>
  <c r="B204" i="3"/>
  <c r="C204" i="3"/>
  <c r="A97" i="3"/>
  <c r="B97" i="3"/>
  <c r="C97" i="3"/>
  <c r="A78" i="3"/>
  <c r="B78" i="3"/>
  <c r="C78" i="3"/>
  <c r="C747" i="3"/>
  <c r="C882" i="3"/>
  <c r="B1149" i="3"/>
  <c r="C1142" i="3"/>
  <c r="B1120" i="3"/>
  <c r="C1113" i="3"/>
  <c r="A1107" i="3"/>
  <c r="B1092" i="3"/>
  <c r="C1081" i="3"/>
  <c r="A1075" i="3"/>
  <c r="B1072" i="3"/>
  <c r="C1055" i="3"/>
  <c r="A1042" i="3"/>
  <c r="B1035" i="3"/>
  <c r="C1020" i="3"/>
  <c r="A1014" i="3"/>
  <c r="B1001" i="3"/>
  <c r="C981" i="3"/>
  <c r="A975" i="3"/>
  <c r="B953" i="3"/>
  <c r="C936" i="3"/>
  <c r="B897" i="3"/>
  <c r="C884" i="3"/>
  <c r="B852" i="3"/>
  <c r="C833" i="3"/>
  <c r="A804" i="3"/>
  <c r="B791" i="3"/>
  <c r="C771" i="3"/>
  <c r="B734" i="3"/>
  <c r="C688" i="3"/>
  <c r="A667" i="3"/>
  <c r="B648" i="3"/>
  <c r="C627" i="3"/>
  <c r="A597" i="3"/>
  <c r="B576" i="3"/>
  <c r="C1101" i="3"/>
  <c r="A1071" i="3"/>
  <c r="B1033" i="3"/>
  <c r="C1012" i="3"/>
  <c r="A998" i="3"/>
  <c r="B964" i="3"/>
  <c r="C951" i="3"/>
  <c r="A935" i="3"/>
  <c r="B915" i="3"/>
  <c r="C892" i="3"/>
  <c r="B850" i="3"/>
  <c r="C832" i="3"/>
  <c r="A820" i="3"/>
  <c r="B803" i="3"/>
  <c r="C769" i="3"/>
  <c r="A733" i="3"/>
  <c r="A706" i="3"/>
  <c r="C932" i="3"/>
  <c r="A499" i="3"/>
  <c r="B499" i="3"/>
  <c r="C499" i="3"/>
  <c r="A864" i="3"/>
  <c r="B864" i="3"/>
  <c r="C864" i="3"/>
  <c r="A663" i="3"/>
  <c r="B663" i="3"/>
  <c r="C663" i="3"/>
  <c r="A495" i="3"/>
  <c r="B495" i="3"/>
  <c r="C495" i="3"/>
  <c r="A337" i="3"/>
  <c r="B337" i="3"/>
  <c r="C337" i="3"/>
  <c r="A301" i="3"/>
  <c r="B301" i="3"/>
  <c r="C301" i="3"/>
  <c r="A491" i="3"/>
  <c r="B491" i="3"/>
  <c r="C491" i="3"/>
  <c r="A335" i="3"/>
  <c r="B335" i="3"/>
  <c r="C335" i="3"/>
  <c r="A221" i="3"/>
  <c r="B221" i="3"/>
  <c r="C221" i="3"/>
  <c r="A241" i="3"/>
  <c r="B241" i="3"/>
  <c r="A293" i="3"/>
  <c r="B293" i="3"/>
  <c r="C293" i="3"/>
  <c r="A93" i="3"/>
  <c r="B93" i="3"/>
  <c r="A704" i="3"/>
  <c r="B1142" i="3"/>
  <c r="B1113" i="3"/>
  <c r="B1081" i="3"/>
  <c r="B1055" i="3"/>
  <c r="B1020" i="3"/>
  <c r="B981" i="3"/>
  <c r="B936" i="3"/>
  <c r="B884" i="3"/>
  <c r="B833" i="3"/>
  <c r="B771" i="3"/>
  <c r="B688" i="3"/>
  <c r="B627" i="3"/>
  <c r="B1101" i="3"/>
  <c r="B1012" i="3"/>
  <c r="B951" i="3"/>
  <c r="B892" i="3"/>
  <c r="B832" i="3"/>
  <c r="B769" i="3"/>
  <c r="C595" i="3"/>
  <c r="C574" i="3"/>
  <c r="B551" i="3"/>
  <c r="B985" i="3"/>
  <c r="C985" i="3"/>
  <c r="A686" i="3"/>
  <c r="B686" i="3"/>
  <c r="A572" i="3"/>
  <c r="B572" i="3"/>
  <c r="C572" i="3"/>
  <c r="A424" i="3"/>
  <c r="B424" i="3"/>
  <c r="C424" i="3"/>
  <c r="A787" i="3"/>
  <c r="B787" i="3"/>
  <c r="C787" i="3"/>
  <c r="A446" i="3"/>
  <c r="B446" i="3"/>
  <c r="C446" i="3"/>
  <c r="A370" i="3"/>
  <c r="B370" i="3"/>
  <c r="A243" i="3"/>
  <c r="B243" i="3"/>
  <c r="A296" i="3"/>
  <c r="B296" i="3"/>
  <c r="A172" i="3"/>
  <c r="B172" i="3"/>
  <c r="A127" i="3"/>
  <c r="B127" i="3"/>
  <c r="A154" i="3"/>
  <c r="B154" i="3"/>
  <c r="C154" i="3"/>
  <c r="A95" i="3"/>
  <c r="B95" i="3"/>
  <c r="A34" i="3"/>
  <c r="B34" i="3"/>
  <c r="C34" i="3"/>
  <c r="B595" i="3"/>
  <c r="A574" i="3"/>
  <c r="A551" i="3"/>
  <c r="C686" i="3"/>
  <c r="A451" i="3"/>
  <c r="B451" i="3"/>
  <c r="A730" i="3"/>
  <c r="B730" i="3"/>
  <c r="C730" i="3"/>
  <c r="A549" i="3"/>
  <c r="B549" i="3"/>
  <c r="C549" i="3"/>
  <c r="A410" i="3"/>
  <c r="B410" i="3"/>
  <c r="C410" i="3"/>
  <c r="A682" i="3"/>
  <c r="B682" i="3"/>
  <c r="A444" i="3"/>
  <c r="B444" i="3"/>
  <c r="A257" i="3"/>
  <c r="B257" i="3"/>
  <c r="C257" i="3"/>
  <c r="A316" i="3"/>
  <c r="B316" i="3"/>
  <c r="C316" i="3"/>
  <c r="A271" i="3"/>
  <c r="B271" i="3"/>
  <c r="C271" i="3"/>
  <c r="A157" i="3"/>
  <c r="B157" i="3"/>
  <c r="C157" i="3"/>
  <c r="A108" i="3"/>
  <c r="B108" i="3"/>
  <c r="C108" i="3"/>
  <c r="A472" i="3"/>
  <c r="C521" i="3"/>
  <c r="C390" i="3"/>
  <c r="C682" i="3"/>
  <c r="C444" i="3"/>
  <c r="C370" i="3"/>
  <c r="C299" i="3"/>
  <c r="C243" i="3"/>
  <c r="C407" i="3"/>
  <c r="C296" i="3"/>
  <c r="C241" i="3"/>
  <c r="C172" i="3"/>
  <c r="C127" i="3"/>
  <c r="C187" i="3"/>
  <c r="C95" i="3"/>
  <c r="C93" i="3"/>
  <c r="A528" i="3"/>
  <c r="B528" i="3"/>
  <c r="A427" i="3"/>
  <c r="B427" i="3"/>
  <c r="C427" i="3"/>
  <c r="A766" i="3"/>
  <c r="B766" i="3"/>
  <c r="A621" i="3"/>
  <c r="B621" i="3"/>
  <c r="A448" i="3"/>
  <c r="B448" i="3"/>
  <c r="A322" i="3"/>
  <c r="B322" i="3"/>
  <c r="A517" i="3"/>
  <c r="B517" i="3"/>
  <c r="A319" i="3"/>
  <c r="B319" i="3"/>
  <c r="C319" i="3"/>
  <c r="A190" i="3"/>
  <c r="B190" i="3"/>
  <c r="C190" i="3"/>
  <c r="A255" i="3"/>
  <c r="B255" i="3"/>
  <c r="C255" i="3"/>
  <c r="A144" i="3"/>
  <c r="B144" i="3"/>
  <c r="C144" i="3"/>
  <c r="A169" i="3"/>
  <c r="B169" i="3"/>
  <c r="C169" i="3"/>
  <c r="A141" i="3"/>
  <c r="B141" i="3"/>
  <c r="A67" i="3"/>
  <c r="B67" i="3"/>
  <c r="C67" i="3"/>
  <c r="A56" i="3"/>
  <c r="B56" i="3"/>
  <c r="C665" i="3"/>
  <c r="C645" i="3"/>
  <c r="B626" i="3"/>
  <c r="A985" i="3"/>
  <c r="C31" i="3"/>
  <c r="B31" i="3"/>
  <c r="C13" i="3"/>
  <c r="C33" i="3"/>
  <c r="B13" i="3"/>
  <c r="B33" i="3"/>
  <c r="J316" i="3"/>
  <c r="J355" i="3"/>
  <c r="J190" i="3"/>
  <c r="J257" i="3"/>
  <c r="J319" i="3"/>
  <c r="J223" i="3"/>
  <c r="J298" i="3"/>
  <c r="J222" i="3"/>
  <c r="J273" i="3"/>
  <c r="J357" i="3"/>
  <c r="J221" i="3"/>
  <c r="J272" i="3"/>
  <c r="J335" i="3"/>
  <c r="J387" i="3"/>
  <c r="J704" i="3"/>
  <c r="J864" i="3"/>
  <c r="J865" i="3"/>
  <c r="J866" i="3"/>
  <c r="J523" i="3"/>
  <c r="J733" i="3"/>
  <c r="J728" i="3"/>
  <c r="J788" i="3"/>
  <c r="J789" i="3"/>
  <c r="J816" i="3"/>
  <c r="J625" i="3"/>
  <c r="J592" i="3"/>
  <c r="J497" i="3"/>
  <c r="J705" i="3"/>
  <c r="J623" i="3"/>
  <c r="J574" i="3"/>
  <c r="J549" i="3"/>
  <c r="J684" i="3"/>
  <c r="J427" i="3"/>
  <c r="J449" i="3"/>
  <c r="J450" i="3"/>
  <c r="J685" i="3"/>
  <c r="J933" i="3"/>
  <c r="J985" i="3"/>
  <c r="J412" i="3"/>
  <c r="J529" i="3"/>
  <c r="J1012" i="3"/>
  <c r="J1101" i="3"/>
  <c r="J627" i="3"/>
  <c r="J688" i="3"/>
  <c r="J771" i="3"/>
  <c r="J748" i="3"/>
  <c r="J1070" i="3"/>
  <c r="J596" i="3"/>
  <c r="J666" i="3"/>
  <c r="J736" i="3"/>
  <c r="J793" i="3"/>
  <c r="J1033" i="3"/>
  <c r="J576" i="3"/>
  <c r="J648" i="3"/>
  <c r="J734" i="3"/>
  <c r="J791" i="3"/>
  <c r="J1032" i="3"/>
  <c r="J553" i="3"/>
  <c r="J647" i="3"/>
  <c r="J709" i="3"/>
  <c r="J790" i="3"/>
  <c r="J834" i="3"/>
  <c r="J19" i="3"/>
  <c r="J41" i="3"/>
  <c r="J74" i="3"/>
  <c r="J76" i="3"/>
  <c r="J118" i="3"/>
  <c r="J198" i="3"/>
  <c r="J153" i="3"/>
  <c r="J266" i="3"/>
  <c r="J237" i="3"/>
  <c r="J3" i="3"/>
  <c r="J10" i="3"/>
  <c r="J17" i="3"/>
  <c r="J11" i="3"/>
  <c r="J30" i="3"/>
  <c r="J73" i="3"/>
  <c r="J64" i="3"/>
  <c r="J197" i="3"/>
  <c r="J284" i="3"/>
  <c r="J214" i="3"/>
  <c r="J347" i="3"/>
  <c r="J29" i="3"/>
  <c r="J53" i="3"/>
  <c r="J89" i="3"/>
  <c r="J91" i="3"/>
  <c r="J135" i="3"/>
  <c r="J179" i="3"/>
  <c r="J28" i="3"/>
  <c r="J52" i="3"/>
  <c r="J88" i="3"/>
  <c r="J90" i="3"/>
  <c r="J164" i="3"/>
  <c r="J137" i="3"/>
  <c r="J235" i="3"/>
  <c r="J459" i="3"/>
  <c r="J267" i="3"/>
  <c r="J330" i="3"/>
  <c r="J366" i="3"/>
  <c r="J367" i="3"/>
  <c r="J380" i="3"/>
  <c r="J440" i="3"/>
  <c r="J539" i="3"/>
  <c r="J509" i="3"/>
  <c r="J510" i="3"/>
  <c r="J436" i="3"/>
  <c r="J675" i="3"/>
  <c r="J315" i="3"/>
  <c r="J384" i="3"/>
  <c r="J485" i="3"/>
  <c r="J329" i="3"/>
  <c r="J382" i="3"/>
  <c r="J383" i="3"/>
  <c r="J401" i="3"/>
  <c r="J758" i="3"/>
  <c r="J782" i="3"/>
  <c r="J811" i="3"/>
  <c r="J812" i="3"/>
  <c r="J422" i="3"/>
  <c r="J490" i="3"/>
  <c r="J566" i="3"/>
  <c r="J698" i="3"/>
  <c r="J826" i="3"/>
  <c r="J861" i="3"/>
  <c r="J442" i="3"/>
  <c r="J515" i="3"/>
  <c r="J587" i="3"/>
  <c r="J638" i="3"/>
  <c r="J799" i="3"/>
  <c r="J908" i="3"/>
  <c r="J860" i="3"/>
  <c r="J441" i="3"/>
  <c r="J514" i="3"/>
  <c r="J567" i="3"/>
  <c r="J589" i="3"/>
  <c r="J590" i="3"/>
  <c r="J591" i="3"/>
  <c r="J1084" i="3"/>
  <c r="J1124" i="3"/>
  <c r="J545" i="3"/>
  <c r="J568" i="3"/>
  <c r="J800" i="3"/>
  <c r="J801" i="3"/>
  <c r="J992" i="3"/>
  <c r="J993" i="3"/>
  <c r="J1140" i="3"/>
  <c r="J862" i="3"/>
  <c r="J660" i="3"/>
  <c r="J661" i="3"/>
  <c r="J680" i="3"/>
  <c r="J1019" i="3"/>
  <c r="J1052" i="3"/>
  <c r="J618" i="3"/>
  <c r="J640" i="3"/>
  <c r="J641" i="3"/>
  <c r="J910" i="3"/>
  <c r="J1126" i="3"/>
  <c r="B1024" i="3"/>
  <c r="A893" i="3"/>
  <c r="B939" i="3"/>
  <c r="C113" i="3"/>
  <c r="B1138" i="3"/>
  <c r="A1062" i="3"/>
  <c r="B717" i="3"/>
  <c r="A607" i="3"/>
  <c r="A83" i="3"/>
  <c r="A47" i="3"/>
  <c r="A9" i="3"/>
  <c r="A1104" i="3"/>
  <c r="A1110" i="3"/>
  <c r="A1122" i="3"/>
  <c r="A905" i="3"/>
  <c r="A874" i="3"/>
  <c r="A873" i="3"/>
  <c r="A941" i="3"/>
  <c r="A1037" i="3"/>
  <c r="A635" i="3"/>
  <c r="A634" i="3"/>
  <c r="A716" i="3"/>
  <c r="A840" i="3"/>
  <c r="A1095" i="3"/>
  <c r="A1094" i="3"/>
  <c r="A810" i="3"/>
  <c r="A631" i="3"/>
  <c r="A652" i="3"/>
  <c r="A737" i="3"/>
  <c r="A983" i="3"/>
  <c r="A806" i="3"/>
  <c r="A710" i="3"/>
  <c r="A689" i="3"/>
  <c r="A773" i="3"/>
  <c r="A324" i="3"/>
  <c r="A212" i="3"/>
  <c r="A178" i="3"/>
  <c r="A194" i="3"/>
  <c r="A175" i="3"/>
  <c r="A72" i="3"/>
  <c r="A84" i="3"/>
  <c r="C129" i="3"/>
  <c r="A1077" i="3"/>
  <c r="C905" i="3"/>
  <c r="B1103" i="3"/>
  <c r="A1016" i="3"/>
  <c r="C840" i="3"/>
  <c r="B870" i="3"/>
  <c r="B968" i="3"/>
  <c r="A38" i="3"/>
  <c r="A35" i="3"/>
  <c r="A1063" i="3"/>
  <c r="A1038" i="3"/>
  <c r="A1026" i="3"/>
  <c r="A1061" i="3"/>
  <c r="A1115" i="3"/>
  <c r="A779" i="3"/>
  <c r="A778" i="3"/>
  <c r="A823" i="3"/>
  <c r="A940" i="3"/>
  <c r="A1060" i="3"/>
  <c r="A583" i="3"/>
  <c r="A633" i="3"/>
  <c r="A987" i="3"/>
  <c r="A958" i="3"/>
  <c r="B957" i="3"/>
  <c r="B986" i="3"/>
  <c r="B536" i="3"/>
  <c r="B480" i="3"/>
  <c r="B506" i="3"/>
  <c r="B807" i="3"/>
  <c r="B603" i="3"/>
  <c r="B533" i="3"/>
  <c r="B431" i="3"/>
  <c r="B413" i="3"/>
  <c r="B531" i="3"/>
  <c r="B325" i="3"/>
  <c r="B249" i="3"/>
  <c r="B362" i="3"/>
  <c r="B340" i="3"/>
  <c r="B302" i="3"/>
  <c r="B116" i="3"/>
  <c r="B174" i="3"/>
  <c r="A85" i="3"/>
  <c r="A69" i="3"/>
  <c r="B113" i="3"/>
  <c r="B1145" i="3"/>
  <c r="A1109" i="3"/>
  <c r="C941" i="3"/>
  <c r="B796" i="3"/>
  <c r="A694" i="3"/>
  <c r="C810" i="3"/>
  <c r="B1046" i="3"/>
  <c r="A37" i="3"/>
  <c r="A674" i="3"/>
  <c r="A739" i="3"/>
  <c r="A988" i="3"/>
  <c r="A537" i="3"/>
  <c r="A923" i="3"/>
  <c r="C416" i="3"/>
  <c r="C282" i="3"/>
  <c r="C454" i="3"/>
  <c r="C428" i="3"/>
  <c r="C341" i="3"/>
  <c r="C225" i="3"/>
  <c r="A100" i="3"/>
  <c r="A128" i="3"/>
  <c r="C61" i="3"/>
  <c r="C1110" i="3"/>
  <c r="B978" i="3"/>
  <c r="A824" i="3"/>
  <c r="C634" i="3"/>
  <c r="B560" i="3"/>
  <c r="A1004" i="3"/>
  <c r="B68" i="3"/>
  <c r="A36" i="3"/>
  <c r="B24" i="3"/>
  <c r="A14" i="3"/>
  <c r="B98" i="3"/>
  <c r="A1048" i="3"/>
  <c r="C874" i="3"/>
  <c r="B718" i="3"/>
  <c r="A584" i="3"/>
  <c r="C1095" i="3"/>
  <c r="C50" i="3"/>
  <c r="B1007" i="3"/>
  <c r="A841" i="3"/>
  <c r="C1037" i="3"/>
  <c r="B924" i="3"/>
  <c r="A1023" i="3"/>
  <c r="A1096" i="3"/>
  <c r="B1096" i="3"/>
  <c r="C1096" i="3"/>
  <c r="A26" i="3"/>
  <c r="A15" i="3"/>
  <c r="A1116" i="3"/>
  <c r="A1123" i="3"/>
  <c r="A1136" i="3"/>
  <c r="A925" i="3"/>
  <c r="A894" i="3"/>
  <c r="A904" i="3"/>
  <c r="A989" i="3"/>
  <c r="A1088" i="3"/>
  <c r="A655" i="3"/>
  <c r="A673" i="3"/>
  <c r="A776" i="3"/>
  <c r="A903" i="3"/>
  <c r="A1121" i="3"/>
  <c r="A902" i="3"/>
  <c r="A822" i="3"/>
  <c r="B86" i="3"/>
  <c r="B99" i="3"/>
  <c r="J84" i="3"/>
  <c r="J49" i="3"/>
  <c r="J25" i="3"/>
  <c r="J8" i="3"/>
  <c r="J1077" i="3"/>
  <c r="J1048" i="3"/>
  <c r="J1062" i="3"/>
  <c r="J1109" i="3"/>
  <c r="J841" i="3"/>
  <c r="J797" i="3"/>
  <c r="J824" i="3"/>
  <c r="J893" i="3"/>
  <c r="J1016" i="3"/>
  <c r="J584" i="3"/>
  <c r="J607" i="3"/>
  <c r="J694" i="3"/>
  <c r="J1023" i="3"/>
  <c r="J1005" i="3"/>
  <c r="J1004" i="3"/>
  <c r="J1022" i="3"/>
  <c r="J606" i="3"/>
  <c r="J559" i="3"/>
  <c r="J525" i="3"/>
  <c r="J524" i="3"/>
  <c r="J557" i="3"/>
  <c r="J605" i="3"/>
  <c r="J856" i="3"/>
  <c r="J775" i="3"/>
  <c r="J671" i="3"/>
  <c r="J532" i="3"/>
  <c r="J504" i="3"/>
  <c r="J475" i="3"/>
  <c r="J455" i="3"/>
  <c r="J600" i="3"/>
  <c r="J69" i="3"/>
  <c r="J1138" i="3"/>
  <c r="J1145" i="3"/>
  <c r="J1007" i="3"/>
  <c r="J968" i="3"/>
  <c r="J978" i="3"/>
  <c r="J1024" i="3"/>
  <c r="J1103" i="3"/>
  <c r="J718" i="3"/>
  <c r="J717" i="3"/>
  <c r="J796" i="3"/>
  <c r="J924" i="3"/>
  <c r="J1046" i="3"/>
  <c r="J560" i="3"/>
  <c r="J939" i="3"/>
  <c r="J870" i="3"/>
  <c r="J838" i="3"/>
  <c r="J809" i="3"/>
  <c r="J837" i="3"/>
  <c r="J869" i="3"/>
  <c r="J938" i="3"/>
  <c r="J435" i="3"/>
  <c r="J434" i="3"/>
  <c r="J433" i="3"/>
  <c r="J713" i="3"/>
  <c r="J604" i="3"/>
  <c r="J505" i="3"/>
  <c r="J432" i="3"/>
  <c r="J379" i="3"/>
  <c r="J344" i="3"/>
  <c r="J326" i="3"/>
  <c r="J306" i="3"/>
  <c r="J474" i="3"/>
  <c r="J363" i="3"/>
  <c r="J530" i="3"/>
  <c r="J394" i="3"/>
  <c r="J48" i="3"/>
  <c r="J16" i="3"/>
  <c r="A1130" i="3"/>
  <c r="B1130" i="3"/>
  <c r="C1130" i="3"/>
  <c r="A825" i="3"/>
  <c r="B825" i="3"/>
  <c r="C825" i="3"/>
  <c r="A872" i="3"/>
  <c r="B872" i="3"/>
  <c r="C872" i="3"/>
  <c r="A967" i="3"/>
  <c r="B967" i="3"/>
  <c r="C967" i="3"/>
  <c r="A1076" i="3"/>
  <c r="B1076" i="3"/>
  <c r="C1076" i="3"/>
  <c r="A608" i="3"/>
  <c r="B608" i="3"/>
  <c r="C608" i="3"/>
  <c r="A654" i="3"/>
  <c r="B654" i="3"/>
  <c r="C654" i="3"/>
  <c r="A755" i="3"/>
  <c r="B755" i="3"/>
  <c r="C755" i="3"/>
  <c r="A1059" i="3"/>
  <c r="B1059" i="3"/>
  <c r="C1059" i="3"/>
  <c r="A1043" i="3"/>
  <c r="B1043" i="3"/>
  <c r="C1043" i="3"/>
  <c r="A1058" i="3"/>
  <c r="B1058" i="3"/>
  <c r="C1058" i="3"/>
  <c r="A715" i="3"/>
  <c r="B715" i="3"/>
  <c r="C715" i="3"/>
  <c r="A632" i="3"/>
  <c r="B632" i="3"/>
  <c r="C632" i="3"/>
  <c r="A581" i="3"/>
  <c r="B581" i="3"/>
  <c r="C581" i="3"/>
  <c r="A558" i="3"/>
  <c r="B558" i="3"/>
  <c r="C558" i="3"/>
  <c r="A580" i="3"/>
  <c r="B580" i="3"/>
  <c r="C580" i="3"/>
  <c r="A629" i="3"/>
  <c r="B629" i="3"/>
  <c r="C629" i="3"/>
  <c r="A714" i="3"/>
  <c r="B714" i="3"/>
  <c r="C714" i="3"/>
  <c r="A921" i="3"/>
  <c r="B921" i="3"/>
  <c r="C921" i="3"/>
  <c r="A855" i="3"/>
  <c r="B855" i="3"/>
  <c r="C855" i="3"/>
  <c r="A774" i="3"/>
  <c r="B774" i="3"/>
  <c r="C774" i="3"/>
  <c r="A711" i="3"/>
  <c r="B711" i="3"/>
  <c r="C711" i="3"/>
  <c r="A650" i="3"/>
  <c r="B650" i="3"/>
  <c r="C650" i="3"/>
  <c r="A601" i="3"/>
  <c r="B601" i="3"/>
  <c r="C601" i="3"/>
  <c r="A578" i="3"/>
  <c r="B578" i="3"/>
  <c r="C578" i="3"/>
  <c r="A555" i="3"/>
  <c r="B555" i="3"/>
  <c r="C555" i="3"/>
  <c r="A669" i="3"/>
  <c r="B669" i="3"/>
  <c r="C669" i="3"/>
  <c r="A502" i="3"/>
  <c r="B502" i="3"/>
  <c r="C502" i="3"/>
  <c r="A376" i="3"/>
  <c r="B376" i="3"/>
  <c r="C376" i="3"/>
  <c r="A281" i="3"/>
  <c r="B281" i="3"/>
  <c r="C281" i="3"/>
  <c r="A230" i="3"/>
  <c r="B230" i="3"/>
  <c r="C230" i="3"/>
  <c r="A196" i="3"/>
  <c r="B196" i="3"/>
  <c r="C196" i="3"/>
  <c r="A452" i="3"/>
  <c r="B452" i="3"/>
  <c r="C452" i="3"/>
  <c r="A278" i="3"/>
  <c r="B278" i="3"/>
  <c r="C278" i="3"/>
  <c r="A177" i="3"/>
  <c r="B177" i="3"/>
  <c r="C177" i="3"/>
  <c r="A276" i="3"/>
  <c r="B276" i="3"/>
  <c r="C276" i="3"/>
  <c r="A160" i="3"/>
  <c r="B160" i="3"/>
  <c r="C160" i="3"/>
  <c r="A159" i="3"/>
  <c r="B159" i="3"/>
  <c r="C159" i="3"/>
  <c r="A114" i="3"/>
  <c r="B114" i="3"/>
  <c r="C114" i="3"/>
  <c r="A158" i="3"/>
  <c r="B158" i="3"/>
  <c r="C158" i="3"/>
  <c r="A70" i="3"/>
  <c r="B70" i="3"/>
  <c r="C70" i="3"/>
  <c r="B59" i="3"/>
  <c r="C59" i="3"/>
  <c r="B36" i="3"/>
  <c r="C36" i="3"/>
  <c r="B14" i="3"/>
  <c r="C14" i="3"/>
  <c r="A1089" i="3"/>
  <c r="B1089" i="3"/>
  <c r="C1089" i="3"/>
  <c r="A1083" i="3"/>
  <c r="B1083" i="3"/>
  <c r="C1083" i="3"/>
  <c r="A858" i="3"/>
  <c r="B858" i="3"/>
  <c r="C858" i="3"/>
  <c r="C68" i="3"/>
  <c r="C24" i="3"/>
  <c r="A1146" i="3"/>
  <c r="A1049" i="3"/>
  <c r="A1017" i="3"/>
  <c r="A990" i="3"/>
  <c r="A1025" i="3"/>
  <c r="A1082" i="3"/>
  <c r="A756" i="3"/>
  <c r="A740" i="3"/>
  <c r="A777" i="3"/>
  <c r="A871" i="3"/>
  <c r="A1006" i="3"/>
  <c r="A561" i="3"/>
  <c r="A582" i="3"/>
  <c r="A966" i="3"/>
  <c r="A901" i="3"/>
  <c r="A71" i="3"/>
  <c r="A60" i="3"/>
  <c r="B888" i="3"/>
  <c r="C888" i="3"/>
  <c r="A887" i="3"/>
  <c r="B887" i="3"/>
  <c r="C887" i="3"/>
  <c r="A900" i="3"/>
  <c r="B900" i="3"/>
  <c r="C900" i="3"/>
  <c r="A965" i="3"/>
  <c r="B965" i="3"/>
  <c r="C965" i="3"/>
  <c r="A481" i="3"/>
  <c r="B481" i="3"/>
  <c r="C481" i="3"/>
  <c r="A458" i="3"/>
  <c r="B458" i="3"/>
  <c r="C458" i="3"/>
  <c r="A457" i="3"/>
  <c r="B457" i="3"/>
  <c r="C457" i="3"/>
  <c r="A479" i="3"/>
  <c r="B479" i="3"/>
  <c r="C479" i="3"/>
  <c r="A750" i="3"/>
  <c r="B750" i="3"/>
  <c r="C750" i="3"/>
  <c r="A651" i="3"/>
  <c r="B651" i="3"/>
  <c r="C651" i="3"/>
  <c r="A534" i="3"/>
  <c r="B534" i="3"/>
  <c r="C534" i="3"/>
  <c r="A477" i="3"/>
  <c r="B477" i="3"/>
  <c r="C477" i="3"/>
  <c r="A414" i="3"/>
  <c r="B414" i="3"/>
  <c r="C414" i="3"/>
  <c r="A378" i="3"/>
  <c r="B378" i="3"/>
  <c r="C378" i="3"/>
  <c r="A364" i="3"/>
  <c r="B364" i="3"/>
  <c r="C364" i="3"/>
  <c r="A343" i="3"/>
  <c r="B343" i="3"/>
  <c r="C343" i="3"/>
  <c r="A503" i="3"/>
  <c r="B503" i="3"/>
  <c r="C503" i="3"/>
  <c r="A377" i="3"/>
  <c r="B377" i="3"/>
  <c r="C377" i="3"/>
  <c r="A305" i="3"/>
  <c r="B305" i="3"/>
  <c r="C305" i="3"/>
  <c r="A500" i="3"/>
  <c r="B500" i="3"/>
  <c r="C500" i="3"/>
  <c r="A374" i="3"/>
  <c r="B374" i="3"/>
  <c r="C374" i="3"/>
  <c r="A304" i="3"/>
  <c r="B304" i="3"/>
  <c r="C304" i="3"/>
  <c r="A303" i="3"/>
  <c r="B303" i="3"/>
  <c r="C303" i="3"/>
  <c r="A210" i="3"/>
  <c r="B210" i="3"/>
  <c r="C210" i="3"/>
  <c r="A245" i="3"/>
  <c r="B245" i="3"/>
  <c r="C245" i="3"/>
  <c r="A148" i="3"/>
  <c r="B148" i="3"/>
  <c r="C148" i="3"/>
  <c r="A102" i="3"/>
  <c r="B102" i="3"/>
  <c r="C102" i="3"/>
  <c r="A147" i="3"/>
  <c r="B147" i="3"/>
  <c r="C147" i="3"/>
  <c r="A173" i="3"/>
  <c r="B173" i="3"/>
  <c r="C173" i="3"/>
  <c r="B129" i="3"/>
  <c r="C72" i="3"/>
  <c r="A113" i="3"/>
  <c r="B61" i="3"/>
  <c r="C84" i="3"/>
  <c r="A98" i="3"/>
  <c r="B50" i="3"/>
  <c r="C49" i="3"/>
  <c r="A68" i="3"/>
  <c r="B26" i="3"/>
  <c r="C25" i="3"/>
  <c r="A24" i="3"/>
  <c r="B15" i="3"/>
  <c r="C8" i="3"/>
  <c r="A1138" i="3"/>
  <c r="B1104" i="3"/>
  <c r="C1063" i="3"/>
  <c r="A1145" i="3"/>
  <c r="B1110" i="3"/>
  <c r="C1038" i="3"/>
  <c r="A1007" i="3"/>
  <c r="B1122" i="3"/>
  <c r="C1026" i="3"/>
  <c r="A968" i="3"/>
  <c r="B905" i="3"/>
  <c r="C1061" i="3"/>
  <c r="A978" i="3"/>
  <c r="B874" i="3"/>
  <c r="C1115" i="3"/>
  <c r="A1024" i="3"/>
  <c r="B873" i="3"/>
  <c r="C779" i="3"/>
  <c r="A1103" i="3"/>
  <c r="B941" i="3"/>
  <c r="C778" i="3"/>
  <c r="A718" i="3"/>
  <c r="B1037" i="3"/>
  <c r="C823" i="3"/>
  <c r="A717" i="3"/>
  <c r="B635" i="3"/>
  <c r="C940" i="3"/>
  <c r="A796" i="3"/>
  <c r="B634" i="3"/>
  <c r="C1060" i="3"/>
  <c r="A924" i="3"/>
  <c r="B716" i="3"/>
  <c r="C583" i="3"/>
  <c r="A1046" i="3"/>
  <c r="B840" i="3"/>
  <c r="C633" i="3"/>
  <c r="A560" i="3"/>
  <c r="B1095" i="3"/>
  <c r="C987" i="3"/>
  <c r="A939" i="3"/>
  <c r="B1094" i="3"/>
  <c r="C958" i="3"/>
  <c r="A870" i="3"/>
  <c r="B810" i="3"/>
  <c r="C957" i="3"/>
  <c r="A754" i="3"/>
  <c r="B754" i="3"/>
  <c r="C754" i="3"/>
  <c r="A693" i="3"/>
  <c r="B693" i="3"/>
  <c r="C693" i="3"/>
  <c r="A692" i="3"/>
  <c r="B692" i="3"/>
  <c r="C692" i="3"/>
  <c r="A691" i="3"/>
  <c r="B691" i="3"/>
  <c r="C691" i="3"/>
  <c r="A751" i="3"/>
  <c r="B751" i="3"/>
  <c r="C751" i="3"/>
  <c r="A821" i="3"/>
  <c r="B821" i="3"/>
  <c r="C821" i="3"/>
  <c r="A899" i="3"/>
  <c r="B899" i="3"/>
  <c r="C899" i="3"/>
  <c r="A398" i="3"/>
  <c r="B398" i="3"/>
  <c r="C398" i="3"/>
  <c r="A672" i="3"/>
  <c r="B672" i="3"/>
  <c r="C672" i="3"/>
  <c r="A556" i="3"/>
  <c r="B556" i="3"/>
  <c r="C556" i="3"/>
  <c r="A456" i="3"/>
  <c r="B456" i="3"/>
  <c r="C456" i="3"/>
  <c r="A397" i="3"/>
  <c r="B397" i="3"/>
  <c r="C397" i="3"/>
  <c r="A345" i="3"/>
  <c r="B345" i="3"/>
  <c r="C345" i="3"/>
  <c r="A308" i="3"/>
  <c r="B308" i="3"/>
  <c r="C308" i="3"/>
  <c r="A283" i="3"/>
  <c r="B283" i="3"/>
  <c r="C283" i="3"/>
  <c r="A264" i="3"/>
  <c r="B264" i="3"/>
  <c r="C264" i="3"/>
  <c r="A668" i="3"/>
  <c r="B668" i="3"/>
  <c r="C668" i="3"/>
  <c r="A501" i="3"/>
  <c r="B501" i="3"/>
  <c r="C501" i="3"/>
  <c r="A375" i="3"/>
  <c r="B375" i="3"/>
  <c r="C375" i="3"/>
  <c r="A280" i="3"/>
  <c r="B280" i="3"/>
  <c r="C280" i="3"/>
  <c r="A229" i="3"/>
  <c r="B229" i="3"/>
  <c r="C229" i="3"/>
  <c r="A195" i="3"/>
  <c r="B195" i="3"/>
  <c r="C195" i="3"/>
  <c r="A392" i="3"/>
  <c r="B392" i="3"/>
  <c r="C392" i="3"/>
  <c r="A227" i="3"/>
  <c r="B227" i="3"/>
  <c r="C227" i="3"/>
  <c r="A149" i="3"/>
  <c r="B149" i="3"/>
  <c r="C149" i="3"/>
  <c r="A260" i="3"/>
  <c r="B260" i="3"/>
  <c r="C260" i="3"/>
  <c r="A192" i="3"/>
  <c r="B192" i="3"/>
  <c r="C192" i="3"/>
  <c r="A191" i="3"/>
  <c r="B191" i="3"/>
  <c r="C191" i="3"/>
  <c r="B72" i="3"/>
  <c r="C85" i="3"/>
  <c r="B84" i="3"/>
  <c r="C69" i="3"/>
  <c r="B49" i="3"/>
  <c r="C48" i="3"/>
  <c r="B25" i="3"/>
  <c r="C16" i="3"/>
  <c r="B8" i="3"/>
  <c r="C1131" i="3"/>
  <c r="B1063" i="3"/>
  <c r="C1137" i="3"/>
  <c r="B1038" i="3"/>
  <c r="C991" i="3"/>
  <c r="B1026" i="3"/>
  <c r="C943" i="3"/>
  <c r="B1061" i="3"/>
  <c r="C942" i="3"/>
  <c r="B1115" i="3"/>
  <c r="C977" i="3"/>
  <c r="B779" i="3"/>
  <c r="C1047" i="3"/>
  <c r="B778" i="3"/>
  <c r="C695" i="3"/>
  <c r="B823" i="3"/>
  <c r="C674" i="3"/>
  <c r="B940" i="3"/>
  <c r="C739" i="3"/>
  <c r="B1060" i="3"/>
  <c r="C857" i="3"/>
  <c r="B583" i="3"/>
  <c r="C988" i="3"/>
  <c r="B633" i="3"/>
  <c r="C537" i="3"/>
  <c r="B987" i="3"/>
  <c r="C923" i="3"/>
  <c r="B958" i="3"/>
  <c r="C839" i="3"/>
  <c r="A1022" i="3"/>
  <c r="B1022" i="3"/>
  <c r="C1022" i="3"/>
  <c r="A606" i="3"/>
  <c r="B606" i="3"/>
  <c r="C606" i="3"/>
  <c r="A559" i="3"/>
  <c r="B559" i="3"/>
  <c r="C559" i="3"/>
  <c r="A525" i="3"/>
  <c r="B525" i="3"/>
  <c r="C525" i="3"/>
  <c r="A524" i="3"/>
  <c r="B524" i="3"/>
  <c r="C524" i="3"/>
  <c r="A557" i="3"/>
  <c r="B557" i="3"/>
  <c r="C557" i="3"/>
  <c r="A605" i="3"/>
  <c r="B605" i="3"/>
  <c r="C605" i="3"/>
  <c r="A856" i="3"/>
  <c r="B856" i="3"/>
  <c r="C856" i="3"/>
  <c r="A775" i="3"/>
  <c r="B775" i="3"/>
  <c r="C775" i="3"/>
  <c r="A671" i="3"/>
  <c r="B671" i="3"/>
  <c r="C671" i="3"/>
  <c r="A602" i="3"/>
  <c r="B602" i="3"/>
  <c r="C602" i="3"/>
  <c r="A532" i="3"/>
  <c r="B532" i="3"/>
  <c r="C532" i="3"/>
  <c r="A504" i="3"/>
  <c r="B504" i="3"/>
  <c r="C504" i="3"/>
  <c r="A475" i="3"/>
  <c r="B475" i="3"/>
  <c r="C475" i="3"/>
  <c r="A455" i="3"/>
  <c r="B455" i="3"/>
  <c r="C455" i="3"/>
  <c r="A600" i="3"/>
  <c r="B600" i="3"/>
  <c r="C600" i="3"/>
  <c r="A430" i="3"/>
  <c r="B430" i="3"/>
  <c r="C430" i="3"/>
  <c r="A342" i="3"/>
  <c r="B342" i="3"/>
  <c r="C342" i="3"/>
  <c r="A263" i="3"/>
  <c r="B263" i="3"/>
  <c r="C263" i="3"/>
  <c r="A213" i="3"/>
  <c r="B213" i="3"/>
  <c r="C213" i="3"/>
  <c r="A453" i="3"/>
  <c r="B453" i="3"/>
  <c r="C453" i="3"/>
  <c r="A393" i="3"/>
  <c r="B393" i="3"/>
  <c r="C393" i="3"/>
  <c r="A246" i="3"/>
  <c r="B246" i="3"/>
  <c r="C246" i="3"/>
  <c r="A162" i="3"/>
  <c r="B162" i="3"/>
  <c r="C162" i="3"/>
  <c r="A226" i="3"/>
  <c r="B226" i="3"/>
  <c r="C226" i="3"/>
  <c r="A131" i="3"/>
  <c r="B131" i="3"/>
  <c r="C131" i="3"/>
  <c r="A224" i="3"/>
  <c r="B224" i="3"/>
  <c r="C224" i="3"/>
  <c r="A101" i="3"/>
  <c r="B101" i="3"/>
  <c r="C101" i="3"/>
  <c r="C100" i="3"/>
  <c r="B85" i="3"/>
  <c r="C128" i="3"/>
  <c r="B69" i="3"/>
  <c r="C83" i="3"/>
  <c r="B48" i="3"/>
  <c r="C47" i="3"/>
  <c r="B16" i="3"/>
  <c r="C9" i="3"/>
  <c r="B1131" i="3"/>
  <c r="B1137" i="3"/>
  <c r="B991" i="3"/>
  <c r="B943" i="3"/>
  <c r="B942" i="3"/>
  <c r="B977" i="3"/>
  <c r="B1047" i="3"/>
  <c r="B695" i="3"/>
  <c r="B674" i="3"/>
  <c r="B739" i="3"/>
  <c r="B857" i="3"/>
  <c r="B988" i="3"/>
  <c r="B537" i="3"/>
  <c r="B923" i="3"/>
  <c r="B839" i="3"/>
  <c r="A888" i="3"/>
  <c r="J229" i="3"/>
  <c r="J195" i="3"/>
  <c r="J392" i="3"/>
  <c r="J227" i="3"/>
  <c r="J260" i="3"/>
  <c r="J192" i="3"/>
  <c r="J191" i="3"/>
  <c r="A838" i="3"/>
  <c r="B838" i="3"/>
  <c r="C838" i="3"/>
  <c r="A809" i="3"/>
  <c r="B809" i="3"/>
  <c r="C809" i="3"/>
  <c r="A837" i="3"/>
  <c r="B837" i="3"/>
  <c r="C837" i="3"/>
  <c r="A869" i="3"/>
  <c r="B869" i="3"/>
  <c r="C869" i="3"/>
  <c r="A938" i="3"/>
  <c r="B938" i="3"/>
  <c r="C938" i="3"/>
  <c r="A435" i="3"/>
  <c r="B435" i="3"/>
  <c r="C435" i="3"/>
  <c r="A434" i="3"/>
  <c r="B434" i="3"/>
  <c r="C434" i="3"/>
  <c r="A433" i="3"/>
  <c r="B433" i="3"/>
  <c r="C433" i="3"/>
  <c r="A713" i="3"/>
  <c r="B713" i="3"/>
  <c r="C713" i="3"/>
  <c r="A604" i="3"/>
  <c r="B604" i="3"/>
  <c r="C604" i="3"/>
  <c r="A505" i="3"/>
  <c r="B505" i="3"/>
  <c r="C505" i="3"/>
  <c r="A432" i="3"/>
  <c r="B432" i="3"/>
  <c r="C432" i="3"/>
  <c r="A379" i="3"/>
  <c r="B379" i="3"/>
  <c r="C379" i="3"/>
  <c r="A344" i="3"/>
  <c r="B344" i="3"/>
  <c r="C344" i="3"/>
  <c r="A326" i="3"/>
  <c r="B326" i="3"/>
  <c r="C326" i="3"/>
  <c r="A306" i="3"/>
  <c r="B306" i="3"/>
  <c r="C306" i="3"/>
  <c r="A474" i="3"/>
  <c r="B474" i="3"/>
  <c r="C474" i="3"/>
  <c r="A363" i="3"/>
  <c r="B363" i="3"/>
  <c r="C363" i="3"/>
  <c r="A530" i="3"/>
  <c r="B530" i="3"/>
  <c r="C530" i="3"/>
  <c r="A394" i="3"/>
  <c r="B394" i="3"/>
  <c r="C394" i="3"/>
  <c r="A323" i="3"/>
  <c r="B323" i="3"/>
  <c r="C323" i="3"/>
  <c r="A247" i="3"/>
  <c r="B247" i="3"/>
  <c r="C247" i="3"/>
  <c r="A279" i="3"/>
  <c r="B279" i="3"/>
  <c r="C279" i="3"/>
  <c r="A338" i="3"/>
  <c r="B338" i="3"/>
  <c r="C338" i="3"/>
  <c r="A193" i="3"/>
  <c r="B193" i="3"/>
  <c r="C193" i="3"/>
  <c r="A132" i="3"/>
  <c r="B132" i="3"/>
  <c r="C132" i="3"/>
  <c r="A275" i="3"/>
  <c r="B275" i="3"/>
  <c r="C275" i="3"/>
  <c r="A130" i="3"/>
  <c r="B130" i="3"/>
  <c r="C130" i="3"/>
  <c r="B100" i="3"/>
  <c r="B128" i="3"/>
  <c r="B83" i="3"/>
  <c r="C38" i="3"/>
  <c r="B47" i="3"/>
  <c r="C35" i="3"/>
  <c r="B9" i="3"/>
  <c r="C1146" i="3"/>
  <c r="C1049" i="3"/>
  <c r="C1017" i="3"/>
  <c r="C990" i="3"/>
  <c r="C1025" i="3"/>
  <c r="C1082" i="3"/>
  <c r="C756" i="3"/>
  <c r="C740" i="3"/>
  <c r="C777" i="3"/>
  <c r="C871" i="3"/>
  <c r="C1006" i="3"/>
  <c r="C561" i="3"/>
  <c r="C582" i="3"/>
  <c r="C966" i="3"/>
  <c r="C901" i="3"/>
  <c r="J393" i="3"/>
  <c r="J226" i="3"/>
  <c r="J131" i="3"/>
  <c r="B738" i="3"/>
  <c r="C738" i="3"/>
  <c r="B653" i="3"/>
  <c r="C653" i="3"/>
  <c r="B631" i="3"/>
  <c r="C631" i="3"/>
  <c r="B630" i="3"/>
  <c r="C630" i="3"/>
  <c r="B652" i="3"/>
  <c r="C652" i="3"/>
  <c r="B737" i="3"/>
  <c r="C737" i="3"/>
  <c r="B808" i="3"/>
  <c r="C808" i="3"/>
  <c r="B983" i="3"/>
  <c r="C983" i="3"/>
  <c r="B920" i="3"/>
  <c r="C920" i="3"/>
  <c r="B854" i="3"/>
  <c r="C854" i="3"/>
  <c r="B806" i="3"/>
  <c r="C806" i="3"/>
  <c r="B749" i="3"/>
  <c r="C749" i="3"/>
  <c r="B710" i="3"/>
  <c r="C710" i="3"/>
  <c r="B689" i="3"/>
  <c r="C689" i="3"/>
  <c r="B670" i="3"/>
  <c r="C670" i="3"/>
  <c r="B773" i="3"/>
  <c r="C773" i="3"/>
  <c r="B554" i="3"/>
  <c r="C554" i="3"/>
  <c r="B429" i="3"/>
  <c r="C429" i="3"/>
  <c r="B324" i="3"/>
  <c r="C324" i="3"/>
  <c r="B248" i="3"/>
  <c r="C248" i="3"/>
  <c r="B212" i="3"/>
  <c r="C212" i="3"/>
  <c r="B178" i="3"/>
  <c r="C178" i="3"/>
  <c r="B339" i="3"/>
  <c r="C339" i="3"/>
  <c r="B194" i="3"/>
  <c r="C194" i="3"/>
  <c r="B133" i="3"/>
  <c r="C133" i="3"/>
  <c r="B209" i="3"/>
  <c r="C209" i="3"/>
  <c r="B175" i="3"/>
  <c r="C175" i="3"/>
  <c r="B146" i="3"/>
  <c r="C146" i="3"/>
  <c r="A5" i="3"/>
  <c r="C71" i="3"/>
  <c r="C60" i="3"/>
  <c r="B38" i="3"/>
  <c r="C37" i="3"/>
  <c r="B35" i="3"/>
  <c r="C23" i="3"/>
  <c r="B1146" i="3"/>
  <c r="C1116" i="3"/>
  <c r="B1049" i="3"/>
  <c r="C1123" i="3"/>
  <c r="B1017" i="3"/>
  <c r="C1136" i="3"/>
  <c r="B990" i="3"/>
  <c r="C925" i="3"/>
  <c r="B1025" i="3"/>
  <c r="C894" i="3"/>
  <c r="B1082" i="3"/>
  <c r="C904" i="3"/>
  <c r="B756" i="3"/>
  <c r="C989" i="3"/>
  <c r="B740" i="3"/>
  <c r="C1088" i="3"/>
  <c r="B777" i="3"/>
  <c r="C655" i="3"/>
  <c r="B871" i="3"/>
  <c r="C673" i="3"/>
  <c r="B1006" i="3"/>
  <c r="C776" i="3"/>
  <c r="B561" i="3"/>
  <c r="C903" i="3"/>
  <c r="B582" i="3"/>
  <c r="C1121" i="3"/>
  <c r="B966" i="3"/>
  <c r="C902" i="3"/>
  <c r="B901" i="3"/>
  <c r="C822" i="3"/>
  <c r="A738" i="3"/>
  <c r="A920" i="3"/>
  <c r="A554" i="3"/>
  <c r="A133" i="3"/>
  <c r="J323" i="3"/>
  <c r="J247" i="3"/>
  <c r="J279" i="3"/>
  <c r="J338" i="3"/>
  <c r="J193" i="3"/>
  <c r="J132" i="3"/>
  <c r="J275" i="3"/>
  <c r="J130" i="3"/>
  <c r="J129" i="3"/>
  <c r="A1151" i="3"/>
  <c r="B1151" i="3"/>
  <c r="C1151" i="3"/>
  <c r="A957" i="3"/>
  <c r="C956" i="3"/>
  <c r="A956" i="3"/>
  <c r="C986" i="3"/>
  <c r="A986" i="3"/>
  <c r="C536" i="3"/>
  <c r="A536" i="3"/>
  <c r="C507" i="3"/>
  <c r="A507" i="3"/>
  <c r="C480" i="3"/>
  <c r="A480" i="3"/>
  <c r="C506" i="3"/>
  <c r="A506" i="3"/>
  <c r="C535" i="3"/>
  <c r="A535" i="3"/>
  <c r="C807" i="3"/>
  <c r="A807" i="3"/>
  <c r="C712" i="3"/>
  <c r="A712" i="3"/>
  <c r="C603" i="3"/>
  <c r="A603" i="3"/>
  <c r="C533" i="3"/>
  <c r="A533" i="3"/>
  <c r="C476" i="3"/>
  <c r="A476" i="3"/>
  <c r="C431" i="3"/>
  <c r="A431" i="3"/>
  <c r="C413" i="3"/>
  <c r="A413" i="3"/>
  <c r="C396" i="3"/>
  <c r="A396" i="3"/>
  <c r="C531" i="3"/>
  <c r="A531" i="3"/>
  <c r="C395" i="3"/>
  <c r="A395" i="3"/>
  <c r="C325" i="3"/>
  <c r="A325" i="3"/>
  <c r="C249" i="3"/>
  <c r="A249" i="3"/>
  <c r="C473" i="3"/>
  <c r="A473" i="3"/>
  <c r="C362" i="3"/>
  <c r="A362" i="3"/>
  <c r="C340" i="3"/>
  <c r="A340" i="3"/>
  <c r="C228" i="3"/>
  <c r="A228" i="3"/>
  <c r="C302" i="3"/>
  <c r="A302" i="3"/>
  <c r="C176" i="3"/>
  <c r="A176" i="3"/>
  <c r="C116" i="3"/>
  <c r="A116" i="3"/>
  <c r="C174" i="3"/>
  <c r="A174" i="3"/>
  <c r="C87" i="3"/>
  <c r="A87" i="3"/>
  <c r="B5" i="3"/>
  <c r="C86" i="3"/>
  <c r="B71" i="3"/>
  <c r="C99" i="3"/>
  <c r="B60" i="3"/>
  <c r="B37" i="3"/>
  <c r="B23" i="3"/>
  <c r="B1116" i="3"/>
  <c r="C1077" i="3"/>
  <c r="B1123" i="3"/>
  <c r="C1048" i="3"/>
  <c r="B1136" i="3"/>
  <c r="C1062" i="3"/>
  <c r="B925" i="3"/>
  <c r="C1109" i="3"/>
  <c r="B894" i="3"/>
  <c r="C841" i="3"/>
  <c r="B904" i="3"/>
  <c r="C797" i="3"/>
  <c r="B989" i="3"/>
  <c r="C824" i="3"/>
  <c r="B1088" i="3"/>
  <c r="C893" i="3"/>
  <c r="B655" i="3"/>
  <c r="C1016" i="3"/>
  <c r="B673" i="3"/>
  <c r="C584" i="3"/>
  <c r="B776" i="3"/>
  <c r="C607" i="3"/>
  <c r="B903" i="3"/>
  <c r="C694" i="3"/>
  <c r="B1121" i="3"/>
  <c r="C1023" i="3"/>
  <c r="B902" i="3"/>
  <c r="C1005" i="3"/>
  <c r="B822" i="3"/>
  <c r="C1004" i="3"/>
  <c r="B956" i="3"/>
  <c r="A630" i="3"/>
  <c r="B712" i="3"/>
  <c r="A749" i="3"/>
  <c r="B395" i="3"/>
  <c r="A248" i="3"/>
  <c r="B176" i="3"/>
  <c r="A146" i="3"/>
  <c r="A795" i="3"/>
  <c r="B795" i="3"/>
  <c r="A753" i="3"/>
  <c r="B753" i="3"/>
  <c r="A752" i="3"/>
  <c r="B752" i="3"/>
  <c r="A794" i="3"/>
  <c r="B794" i="3"/>
  <c r="A836" i="3"/>
  <c r="B836" i="3"/>
  <c r="A922" i="3"/>
  <c r="B922" i="3"/>
  <c r="A417" i="3"/>
  <c r="B417" i="3"/>
  <c r="A416" i="3"/>
  <c r="B416" i="3"/>
  <c r="A690" i="3"/>
  <c r="B690" i="3"/>
  <c r="A579" i="3"/>
  <c r="B579" i="3"/>
  <c r="A478" i="3"/>
  <c r="B478" i="3"/>
  <c r="A415" i="3"/>
  <c r="B415" i="3"/>
  <c r="A365" i="3"/>
  <c r="B365" i="3"/>
  <c r="A327" i="3"/>
  <c r="B327" i="3"/>
  <c r="A307" i="3"/>
  <c r="B307" i="3"/>
  <c r="A282" i="3"/>
  <c r="B282" i="3"/>
  <c r="A454" i="3"/>
  <c r="B454" i="3"/>
  <c r="A599" i="3"/>
  <c r="B599" i="3"/>
  <c r="A428" i="3"/>
  <c r="B428" i="3"/>
  <c r="A341" i="3"/>
  <c r="B341" i="3"/>
  <c r="A262" i="3"/>
  <c r="B262" i="3"/>
  <c r="A211" i="3"/>
  <c r="B211" i="3"/>
  <c r="A261" i="3"/>
  <c r="B261" i="3"/>
  <c r="A277" i="3"/>
  <c r="B277" i="3"/>
  <c r="A161" i="3"/>
  <c r="B161" i="3"/>
  <c r="A117" i="3"/>
  <c r="B117" i="3"/>
  <c r="A225" i="3"/>
  <c r="B225" i="3"/>
  <c r="A115" i="3"/>
  <c r="B115" i="3"/>
  <c r="C753" i="3"/>
  <c r="B507" i="3"/>
  <c r="A808" i="3"/>
  <c r="C579" i="3"/>
  <c r="B476" i="3"/>
  <c r="A670" i="3"/>
  <c r="C599" i="3"/>
  <c r="B473" i="3"/>
  <c r="A339" i="3"/>
  <c r="C117" i="3"/>
  <c r="B87" i="3"/>
  <c r="J128" i="3"/>
  <c r="J83" i="3"/>
  <c r="J47" i="3"/>
  <c r="J9" i="3"/>
  <c r="J1104" i="3"/>
  <c r="J1110" i="3"/>
  <c r="J1122" i="3"/>
  <c r="J905" i="3"/>
  <c r="J874" i="3"/>
  <c r="J873" i="3"/>
  <c r="J941" i="3"/>
  <c r="J1037" i="3"/>
  <c r="J635" i="3"/>
  <c r="J634" i="3"/>
  <c r="J716" i="3"/>
  <c r="J840" i="3"/>
  <c r="J1095" i="3"/>
  <c r="J1094" i="3"/>
  <c r="J810" i="3"/>
  <c r="J738" i="3"/>
  <c r="J653" i="3"/>
  <c r="J631" i="3"/>
  <c r="J630" i="3"/>
  <c r="J652" i="3"/>
  <c r="J737" i="3"/>
  <c r="J808" i="3"/>
  <c r="J983" i="3"/>
  <c r="J920" i="3"/>
  <c r="J854" i="3"/>
  <c r="J806" i="3"/>
  <c r="J749" i="3"/>
  <c r="J710" i="3"/>
  <c r="J689" i="3"/>
  <c r="J670" i="3"/>
  <c r="J773" i="3"/>
  <c r="J554" i="3"/>
  <c r="J429" i="3"/>
  <c r="J324" i="3"/>
  <c r="J248" i="3"/>
  <c r="J212" i="3"/>
  <c r="J178" i="3"/>
  <c r="J339" i="3"/>
  <c r="J194" i="3"/>
  <c r="J133" i="3"/>
  <c r="J209" i="3"/>
  <c r="J175" i="3"/>
  <c r="J146" i="3"/>
  <c r="J72" i="3"/>
  <c r="J38" i="3"/>
  <c r="J35" i="3"/>
  <c r="J1151" i="3"/>
  <c r="J1063" i="3"/>
  <c r="J1038" i="3"/>
  <c r="J1026" i="3"/>
  <c r="J1061" i="3"/>
  <c r="J1115" i="3"/>
  <c r="J779" i="3"/>
  <c r="J778" i="3"/>
  <c r="J823" i="3"/>
  <c r="J940" i="3"/>
  <c r="J1060" i="3"/>
  <c r="J583" i="3"/>
  <c r="J633" i="3"/>
  <c r="J987" i="3"/>
  <c r="J958" i="3"/>
  <c r="J957" i="3"/>
  <c r="J956" i="3"/>
  <c r="J986" i="3"/>
  <c r="J536" i="3"/>
  <c r="J507" i="3"/>
  <c r="J480" i="3"/>
  <c r="J506" i="3"/>
  <c r="J535" i="3"/>
  <c r="J807" i="3"/>
  <c r="J712" i="3"/>
  <c r="J603" i="3"/>
  <c r="J533" i="3"/>
  <c r="J476" i="3"/>
  <c r="J431" i="3"/>
  <c r="J413" i="3"/>
  <c r="J396" i="3"/>
  <c r="J531" i="3"/>
  <c r="J395" i="3"/>
  <c r="J325" i="3"/>
  <c r="J249" i="3"/>
  <c r="J473" i="3"/>
  <c r="J362" i="3"/>
  <c r="J340" i="3"/>
  <c r="J228" i="3"/>
  <c r="J302" i="3"/>
  <c r="J176" i="3"/>
  <c r="J116" i="3"/>
  <c r="J174" i="3"/>
  <c r="J87" i="3"/>
  <c r="J85" i="3"/>
  <c r="J60" i="3"/>
  <c r="J37" i="3"/>
  <c r="J23" i="3"/>
  <c r="J1131" i="3"/>
  <c r="J1137" i="3"/>
  <c r="J991" i="3"/>
  <c r="J943" i="3"/>
  <c r="J942" i="3"/>
  <c r="J977" i="3"/>
  <c r="J1047" i="3"/>
  <c r="J695" i="3"/>
  <c r="J674" i="3"/>
  <c r="J739" i="3"/>
  <c r="J857" i="3"/>
  <c r="J988" i="3"/>
  <c r="J537" i="3"/>
  <c r="J923" i="3"/>
  <c r="J839" i="3"/>
  <c r="J795" i="3"/>
  <c r="J753" i="3"/>
  <c r="J752" i="3"/>
  <c r="J794" i="3"/>
  <c r="J836" i="3"/>
  <c r="J922" i="3"/>
  <c r="J417" i="3"/>
  <c r="J416" i="3"/>
  <c r="J690" i="3"/>
  <c r="J579" i="3"/>
  <c r="J478" i="3"/>
  <c r="J415" i="3"/>
  <c r="J365" i="3"/>
  <c r="J327" i="3"/>
  <c r="J307" i="3"/>
  <c r="J282" i="3"/>
  <c r="J454" i="3"/>
  <c r="J599" i="3"/>
  <c r="J428" i="3"/>
  <c r="J341" i="3"/>
  <c r="J262" i="3"/>
  <c r="J211" i="3"/>
  <c r="J261" i="3"/>
  <c r="J277" i="3"/>
  <c r="J161" i="3"/>
  <c r="J117" i="3"/>
  <c r="J225" i="3"/>
  <c r="J115" i="3"/>
  <c r="J100" i="3"/>
  <c r="J70" i="3"/>
  <c r="J71" i="3"/>
  <c r="J99" i="3"/>
  <c r="J59" i="3"/>
  <c r="J36" i="3"/>
  <c r="J14" i="3"/>
  <c r="J98" i="3"/>
  <c r="J68" i="3"/>
  <c r="J113" i="3"/>
  <c r="J5" i="3"/>
  <c r="J15" i="3"/>
  <c r="J1116" i="3"/>
  <c r="J1123" i="3"/>
  <c r="J1136" i="3"/>
  <c r="J925" i="3"/>
  <c r="J894" i="3"/>
  <c r="J904" i="3"/>
  <c r="J989" i="3"/>
  <c r="J1088" i="3"/>
  <c r="J655" i="3"/>
  <c r="J673" i="3"/>
  <c r="J776" i="3"/>
  <c r="J903" i="3"/>
  <c r="J1121" i="3"/>
  <c r="J902" i="3"/>
  <c r="J822" i="3"/>
  <c r="J754" i="3"/>
  <c r="J693" i="3"/>
  <c r="J692" i="3"/>
  <c r="J691" i="3"/>
  <c r="J751" i="3"/>
  <c r="J821" i="3"/>
  <c r="J899" i="3"/>
  <c r="J398" i="3"/>
  <c r="J672" i="3"/>
  <c r="J556" i="3"/>
  <c r="J456" i="3"/>
  <c r="J397" i="3"/>
  <c r="J345" i="3"/>
  <c r="J308" i="3"/>
  <c r="J149" i="3"/>
  <c r="J602" i="3"/>
  <c r="J430" i="3"/>
  <c r="J342" i="3"/>
  <c r="J263" i="3"/>
  <c r="J213" i="3"/>
  <c r="J453" i="3"/>
  <c r="J246" i="3"/>
  <c r="J162" i="3"/>
  <c r="J224" i="3"/>
  <c r="J101" i="3"/>
  <c r="C1156" i="3" l="1"/>
  <c r="B1156" i="3"/>
  <c r="A1156" i="3"/>
</calcChain>
</file>

<file path=xl/sharedStrings.xml><?xml version="1.0" encoding="utf-8"?>
<sst xmlns="http://schemas.openxmlformats.org/spreadsheetml/2006/main" count="16" uniqueCount="10">
  <si>
    <t>MOM</t>
  </si>
  <si>
    <t>AA</t>
  </si>
  <si>
    <t>WP</t>
  </si>
  <si>
    <t>Cost WP</t>
  </si>
  <si>
    <t>Cost MOM</t>
  </si>
  <si>
    <t>Cost AA</t>
  </si>
  <si>
    <t>Tot Cost</t>
  </si>
  <si>
    <t>italics is mom</t>
  </si>
  <si>
    <t>regular is wp</t>
  </si>
  <si>
    <t>bold is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</si>
</sst>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56"/>
  <sheetViews>
    <sheetView tabSelected="1" zoomScaleNormal="100" workbookViewId="0">
      <pane ySplit="1" topLeftCell="A2" activePane="bottomLeft" state="frozen"/>
      <selection pane="bottomLeft" activeCell="I9" sqref="I9"/>
    </sheetView>
  </sheetViews>
  <sheetFormatPr defaultRowHeight="15" x14ac:dyDescent="0.25"/>
  <cols>
    <col min="1" max="1" width="14.7109375" style="1" customWidth="1"/>
    <col min="2" max="3" width="14.7109375" style="1" bestFit="1" customWidth="1"/>
    <col min="4" max="6" width="9.140625" style="1"/>
    <col min="7" max="7" width="10.5703125" style="1" bestFit="1" customWidth="1"/>
    <col min="8" max="8" width="13" style="1" bestFit="1" customWidth="1"/>
    <col min="9" max="9" width="10.42578125" style="1" bestFit="1" customWidth="1"/>
    <col min="10" max="10" width="10.5703125" style="1" customWidth="1"/>
    <col min="11" max="11" width="9.140625" customWidth="1"/>
    <col min="12" max="13" width="9.140625" style="1"/>
  </cols>
  <sheetData>
    <row r="1" spans="1:25" x14ac:dyDescent="0.25">
      <c r="A1" s="1">
        <v>179.4</v>
      </c>
      <c r="B1" s="1">
        <v>209</v>
      </c>
      <c r="C1" s="1">
        <v>219</v>
      </c>
      <c r="D1" s="1" t="s">
        <v>2</v>
      </c>
      <c r="E1" s="1" t="s">
        <v>0</v>
      </c>
      <c r="F1" s="1" t="s">
        <v>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0</v>
      </c>
      <c r="L1" s="1" t="s">
        <v>1</v>
      </c>
      <c r="M1" s="1" t="s">
        <v>2</v>
      </c>
      <c r="R1" s="1"/>
      <c r="S1" s="1"/>
      <c r="T1" t="s">
        <v>2</v>
      </c>
      <c r="U1" t="s">
        <v>0</v>
      </c>
      <c r="V1" t="s">
        <v>1</v>
      </c>
    </row>
    <row r="2" spans="1:25" x14ac:dyDescent="0.25">
      <c r="A2" s="1">
        <v>472</v>
      </c>
      <c r="B2" s="1">
        <v>549</v>
      </c>
      <c r="C2" s="1">
        <v>577</v>
      </c>
      <c r="D2" s="1">
        <v>0</v>
      </c>
      <c r="E2" s="1">
        <v>0</v>
      </c>
      <c r="F2" s="1">
        <v>0</v>
      </c>
      <c r="G2" s="1">
        <f>SUMIFS($S$2:$S$10,$R$2:$R$10,D2)</f>
        <v>0</v>
      </c>
      <c r="H2" s="1">
        <f>SUMIFS($S$2:$S$10,$R$2:$R$10,E2)</f>
        <v>0</v>
      </c>
      <c r="I2" s="1">
        <f>SUMIFS($S$2:$S$10,$R$2:$R$10,F2)</f>
        <v>0</v>
      </c>
      <c r="J2" s="1">
        <f>SUM(G2:I2)</f>
        <v>0</v>
      </c>
      <c r="K2" s="1">
        <f>SUMIFS($U$2:$U$10,$R$2:$R$10,E2)</f>
        <v>0</v>
      </c>
      <c r="L2" s="1">
        <f>SUMIFS($V$2:$V$10,$R$2:$R$10,F2)</f>
        <v>0</v>
      </c>
      <c r="M2" s="1">
        <f>SUMIFS($T$2:$T$10,$R$2:$R$10,D2)</f>
        <v>0</v>
      </c>
      <c r="R2" s="1">
        <v>1</v>
      </c>
      <c r="S2" s="1">
        <v>1</v>
      </c>
      <c r="T2">
        <v>0.13</v>
      </c>
      <c r="U2">
        <v>0.01</v>
      </c>
      <c r="V2">
        <v>0.01</v>
      </c>
    </row>
    <row r="3" spans="1:25" x14ac:dyDescent="0.25">
      <c r="A3" s="3">
        <v>472</v>
      </c>
      <c r="B3" s="3">
        <v>549</v>
      </c>
      <c r="C3" s="3">
        <v>577</v>
      </c>
      <c r="D3" s="3">
        <v>0</v>
      </c>
      <c r="E3" s="3">
        <v>0</v>
      </c>
      <c r="F3" s="3">
        <v>0</v>
      </c>
      <c r="G3" s="3">
        <f>SUMIFS($S$2:$S$10,$R$2:$R$10,D3)</f>
        <v>0</v>
      </c>
      <c r="H3" s="3">
        <f>SUMIFS($S$2:$S$10,$R$2:$R$10,E3)</f>
        <v>0</v>
      </c>
      <c r="I3" s="3">
        <f>SUMIFS($S$2:$S$10,$R$2:$R$10,F3)</f>
        <v>0</v>
      </c>
      <c r="J3" s="3">
        <f>SUM(G3:I3)</f>
        <v>0</v>
      </c>
      <c r="K3" s="3">
        <f>SUMIFS($U$2:$U$10,$R$2:$R$10,E3)</f>
        <v>0</v>
      </c>
      <c r="L3" s="3">
        <f>SUMIFS($V$2:$V$10,$R$2:$R$10,F3)</f>
        <v>0</v>
      </c>
      <c r="M3" s="3">
        <f>SUMIFS($T$2:$T$10,$R$2:$R$10,D3)</f>
        <v>0</v>
      </c>
      <c r="R3" s="1">
        <v>2</v>
      </c>
      <c r="S3" s="1">
        <v>2</v>
      </c>
      <c r="T3">
        <v>0.16</v>
      </c>
      <c r="U3">
        <v>0.02</v>
      </c>
      <c r="V3">
        <v>0.02</v>
      </c>
      <c r="Y3" t="s">
        <v>7</v>
      </c>
    </row>
    <row r="4" spans="1:25" x14ac:dyDescent="0.25">
      <c r="A4" s="2">
        <v>472</v>
      </c>
      <c r="B4" s="2">
        <v>549</v>
      </c>
      <c r="C4" s="2">
        <v>577</v>
      </c>
      <c r="D4" s="2">
        <v>0</v>
      </c>
      <c r="E4" s="2">
        <v>0</v>
      </c>
      <c r="F4" s="2">
        <v>0</v>
      </c>
      <c r="G4" s="2">
        <f>SUMIFS($S$2:$S$10,$R$2:$R$10,D4)</f>
        <v>0</v>
      </c>
      <c r="H4" s="2">
        <f>SUMIFS($S$2:$S$10,$R$2:$R$10,E4)</f>
        <v>0</v>
      </c>
      <c r="I4" s="2">
        <f>SUMIFS($S$2:$S$10,$R$2:$R$10,F4)</f>
        <v>0</v>
      </c>
      <c r="J4" s="2">
        <f>SUM(G4:I4)</f>
        <v>0</v>
      </c>
      <c r="K4" s="2">
        <f>SUMIFS($U$2:$U$10,$R$2:$R$10,E4)</f>
        <v>0</v>
      </c>
      <c r="L4" s="2">
        <f>SUMIFS($V$2:$V$10,$R$2:$R$10,F4)</f>
        <v>0</v>
      </c>
      <c r="M4" s="2">
        <f>SUMIFS($T$2:$T$10,$R$2:$R$10,D4)</f>
        <v>0</v>
      </c>
      <c r="R4" s="1">
        <v>3</v>
      </c>
      <c r="S4" s="1">
        <v>4</v>
      </c>
      <c r="T4">
        <v>0.19</v>
      </c>
      <c r="U4">
        <v>0.03</v>
      </c>
      <c r="V4">
        <v>0.03</v>
      </c>
      <c r="Y4" t="s">
        <v>8</v>
      </c>
    </row>
    <row r="5" spans="1:25" x14ac:dyDescent="0.25">
      <c r="A5" s="1">
        <f>(A$2+A$2*K5+A$2*L5)*(1+M5)</f>
        <v>533.3599999999999</v>
      </c>
      <c r="B5" s="1">
        <f>(B$2+B$2*K5+B$2*L5)*(1+M5)</f>
        <v>620.36999999999989</v>
      </c>
      <c r="C5" s="1">
        <f>(C$2+C$2*K5+C$2*L5)*(1+M5)</f>
        <v>652.01</v>
      </c>
      <c r="D5" s="1">
        <v>1</v>
      </c>
      <c r="E5" s="1">
        <v>0</v>
      </c>
      <c r="F5" s="1">
        <v>0</v>
      </c>
      <c r="G5" s="1">
        <f>SUMIFS($S$2:$S$10,$R$2:$R$10,D5)</f>
        <v>1</v>
      </c>
      <c r="H5" s="1">
        <f>SUMIFS($S$2:$S$10,$R$2:$R$10,E5)</f>
        <v>0</v>
      </c>
      <c r="I5" s="1">
        <f>SUMIFS($S$2:$S$10,$R$2:$R$10,F5)</f>
        <v>0</v>
      </c>
      <c r="J5" s="1">
        <f>SUM(G5:I5)</f>
        <v>1</v>
      </c>
      <c r="K5" s="1">
        <f>SUMIFS($U$2:$U$10,$R$2:$R$10,E5)</f>
        <v>0</v>
      </c>
      <c r="L5" s="1">
        <f>SUMIFS($V$2:$V$10,$R$2:$R$10,F5)</f>
        <v>0</v>
      </c>
      <c r="M5" s="1">
        <f>SUMIFS($T$2:$T$10,$R$2:$R$10,D5)</f>
        <v>0.13</v>
      </c>
      <c r="R5" s="1">
        <v>4</v>
      </c>
      <c r="S5" s="1">
        <v>7</v>
      </c>
      <c r="T5">
        <v>0.22</v>
      </c>
      <c r="U5">
        <v>0.05</v>
      </c>
      <c r="V5">
        <v>0.04</v>
      </c>
      <c r="Y5" t="s">
        <v>9</v>
      </c>
    </row>
    <row r="6" spans="1:25" x14ac:dyDescent="0.25">
      <c r="A6" s="3">
        <f>(A$2+A$2*M6+A$2*L6)*(1+K6)</f>
        <v>476.72</v>
      </c>
      <c r="B6" s="3">
        <f>(B$2+B$2*M6+B$2*L6)*(1+K6)</f>
        <v>554.49</v>
      </c>
      <c r="C6" s="3">
        <f>(C$2+C$2*M6+C$2*L6)*(1+K6)</f>
        <v>582.77</v>
      </c>
      <c r="D6" s="3">
        <v>1</v>
      </c>
      <c r="E6" s="3">
        <v>0</v>
      </c>
      <c r="F6" s="3">
        <v>0</v>
      </c>
      <c r="G6" s="3">
        <f>SUMIFS($S$2:$S$10,$R$2:$R$10,D6)</f>
        <v>1</v>
      </c>
      <c r="H6" s="3">
        <f>SUMIFS($S$2:$S$10,$R$2:$R$10,E6)</f>
        <v>0</v>
      </c>
      <c r="I6" s="3">
        <f>SUMIFS($S$2:$S$10,$R$2:$R$10,F6)</f>
        <v>0</v>
      </c>
      <c r="J6" s="3">
        <f>SUM(G6:I6)</f>
        <v>1</v>
      </c>
      <c r="K6" s="3">
        <f>SUMIFS($T$2:$T$10,$R$2:$R$10,E6)</f>
        <v>0</v>
      </c>
      <c r="L6" s="3">
        <f>SUMIFS($V$2:$V$10,$R$2:$R$10,F6)</f>
        <v>0</v>
      </c>
      <c r="M6" s="3">
        <f>SUMIFS($U$2:$U$10,$R$2:$R$10,D6)</f>
        <v>0.01</v>
      </c>
      <c r="R6" s="1">
        <v>5</v>
      </c>
      <c r="S6" s="1">
        <v>10</v>
      </c>
      <c r="T6">
        <v>0.27</v>
      </c>
      <c r="U6">
        <v>7.0000000000000007E-2</v>
      </c>
      <c r="V6">
        <v>0.05</v>
      </c>
    </row>
    <row r="7" spans="1:25" x14ac:dyDescent="0.25">
      <c r="A7" s="2">
        <f>(A$2+A$2*K7+A$2*M7)*(1+L7)</f>
        <v>476.72</v>
      </c>
      <c r="B7" s="2">
        <f>(B$2+B$2*K7+B$2*M7)*(1+L7)</f>
        <v>554.49</v>
      </c>
      <c r="C7" s="2">
        <f>(C$2+C$2*K7+C$2*M7)*(1+L7)</f>
        <v>582.77</v>
      </c>
      <c r="D7" s="2">
        <v>1</v>
      </c>
      <c r="E7" s="2">
        <v>0</v>
      </c>
      <c r="F7" s="2">
        <v>0</v>
      </c>
      <c r="G7" s="2">
        <f>SUMIFS($S$2:$S$10,$R$2:$R$10,D7)</f>
        <v>1</v>
      </c>
      <c r="H7" s="2">
        <f>SUMIFS($S$2:$S$10,$R$2:$R$10,E7)</f>
        <v>0</v>
      </c>
      <c r="I7" s="2">
        <f>SUMIFS($S$2:$S$10,$R$2:$R$10,F7)</f>
        <v>0</v>
      </c>
      <c r="J7" s="2">
        <f>SUM(G7:I7)</f>
        <v>1</v>
      </c>
      <c r="K7" s="2">
        <f>SUMIFS($U$2:$U$10,$R$2:$R$10,E7)</f>
        <v>0</v>
      </c>
      <c r="L7" s="2">
        <f>SUMIFS($T$2:$T$10,$R$2:$R$10,F7)</f>
        <v>0</v>
      </c>
      <c r="M7" s="2">
        <f>SUMIFS($V$2:$V$10,$R$2:$R$10,D7)</f>
        <v>0.01</v>
      </c>
      <c r="R7" s="1">
        <v>6</v>
      </c>
      <c r="S7" s="1">
        <v>15</v>
      </c>
      <c r="T7">
        <v>0.32</v>
      </c>
      <c r="U7">
        <v>0.09</v>
      </c>
      <c r="V7">
        <v>0.06</v>
      </c>
    </row>
    <row r="8" spans="1:25" x14ac:dyDescent="0.25">
      <c r="A8" s="1">
        <f>(A$2+A$2*K8+A$2*L8)*(1+M8)</f>
        <v>538.69359999999995</v>
      </c>
      <c r="B8" s="1">
        <f>(B$2+B$2*K8+B$2*L8)*(1+M8)</f>
        <v>626.57369999999992</v>
      </c>
      <c r="C8" s="1">
        <f>(C$2+C$2*K8+C$2*L8)*(1+M8)</f>
        <v>658.53009999999995</v>
      </c>
      <c r="D8" s="1">
        <v>1</v>
      </c>
      <c r="E8" s="1">
        <v>1</v>
      </c>
      <c r="F8" s="1">
        <v>0</v>
      </c>
      <c r="G8" s="1">
        <f>SUMIFS($S$2:$S$10,$R$2:$R$10,D8)</f>
        <v>1</v>
      </c>
      <c r="H8" s="1">
        <f>SUMIFS($S$2:$S$10,$R$2:$R$10,E8)</f>
        <v>1</v>
      </c>
      <c r="I8" s="1">
        <f>SUMIFS($S$2:$S$10,$R$2:$R$10,F8)</f>
        <v>0</v>
      </c>
      <c r="J8" s="1">
        <f>SUM(G8:I8)</f>
        <v>2</v>
      </c>
      <c r="K8" s="1">
        <f>SUMIFS($U$2:$U$10,$R$2:$R$10,E8)</f>
        <v>0.01</v>
      </c>
      <c r="L8" s="1">
        <f>SUMIFS($V$2:$V$10,$R$2:$R$10,F8)</f>
        <v>0</v>
      </c>
      <c r="M8" s="1">
        <f>SUMIFS($T$2:$T$10,$R$2:$R$10,D8)</f>
        <v>0.13</v>
      </c>
      <c r="R8" s="1">
        <v>7</v>
      </c>
      <c r="S8" s="1">
        <v>20</v>
      </c>
      <c r="T8">
        <v>0.37</v>
      </c>
      <c r="U8">
        <v>0.11</v>
      </c>
      <c r="V8">
        <v>7.0000000000000007E-2</v>
      </c>
    </row>
    <row r="9" spans="1:25" x14ac:dyDescent="0.25">
      <c r="A9" s="1">
        <f>(A$2+A$2*K9+A$2*L9)*(1+M9)</f>
        <v>547.52</v>
      </c>
      <c r="B9" s="1">
        <f>(B$2+B$2*K9+B$2*L9)*(1+M9)</f>
        <v>636.83999999999992</v>
      </c>
      <c r="C9" s="1">
        <f>(C$2+C$2*K9+C$2*L9)*(1+M9)</f>
        <v>669.31999999999994</v>
      </c>
      <c r="D9" s="1">
        <v>2</v>
      </c>
      <c r="E9" s="1">
        <v>0</v>
      </c>
      <c r="F9" s="1">
        <v>0</v>
      </c>
      <c r="G9" s="1">
        <f>SUMIFS($S$2:$S$10,$R$2:$R$10,D9)</f>
        <v>2</v>
      </c>
      <c r="H9" s="1">
        <f>SUMIFS($S$2:$S$10,$R$2:$R$10,E9)</f>
        <v>0</v>
      </c>
      <c r="I9" s="1">
        <f>SUMIFS($S$2:$S$10,$R$2:$R$10,F9)</f>
        <v>0</v>
      </c>
      <c r="J9" s="1">
        <f>SUM(G9:I9)</f>
        <v>2</v>
      </c>
      <c r="K9" s="1">
        <f>SUMIFS($U$2:$U$10,$R$2:$R$10,E9)</f>
        <v>0</v>
      </c>
      <c r="L9" s="1">
        <f>SUMIFS($V$2:$V$10,$R$2:$R$10,F9)</f>
        <v>0</v>
      </c>
      <c r="M9" s="1">
        <f>SUMIFS($T$2:$T$10,$R$2:$R$10,D9)</f>
        <v>0.16</v>
      </c>
      <c r="R9" s="1">
        <v>8</v>
      </c>
      <c r="S9" s="1">
        <v>27</v>
      </c>
      <c r="T9">
        <v>0.43</v>
      </c>
      <c r="U9">
        <v>0.13</v>
      </c>
      <c r="V9">
        <v>0.08</v>
      </c>
    </row>
    <row r="10" spans="1:25" x14ac:dyDescent="0.25">
      <c r="A10" s="3">
        <f>(A$2+A$2*M10+A$2*L10)*(1+K10)</f>
        <v>538.69359999999995</v>
      </c>
      <c r="B10" s="3">
        <f>(B$2+B$2*M10+B$2*L10)*(1+K10)</f>
        <v>626.57369999999992</v>
      </c>
      <c r="C10" s="3">
        <f>(C$2+C$2*M10+C$2*L10)*(1+K10)</f>
        <v>658.53009999999995</v>
      </c>
      <c r="D10" s="3">
        <v>1</v>
      </c>
      <c r="E10" s="3">
        <v>1</v>
      </c>
      <c r="F10" s="3">
        <v>0</v>
      </c>
      <c r="G10" s="3">
        <f>SUMIFS($S$2:$S$10,$R$2:$R$10,D10)</f>
        <v>1</v>
      </c>
      <c r="H10" s="3">
        <f>SUMIFS($S$2:$S$10,$R$2:$R$10,E10)</f>
        <v>1</v>
      </c>
      <c r="I10" s="3">
        <f>SUMIFS($S$2:$S$10,$R$2:$R$10,F10)</f>
        <v>0</v>
      </c>
      <c r="J10" s="3">
        <f>SUM(G10:I10)</f>
        <v>2</v>
      </c>
      <c r="K10" s="3">
        <f>SUMIFS($T$2:$T$10,$R$2:$R$10,E10)</f>
        <v>0.13</v>
      </c>
      <c r="L10" s="3">
        <f>SUMIFS($V$2:$V$10,$R$2:$R$10,F10)</f>
        <v>0</v>
      </c>
      <c r="M10" s="3">
        <f>SUMIFS($U$2:$U$10,$R$2:$R$10,D10)</f>
        <v>0.01</v>
      </c>
      <c r="R10" s="1">
        <v>9</v>
      </c>
      <c r="S10" s="1">
        <v>34</v>
      </c>
      <c r="T10">
        <v>0.49</v>
      </c>
      <c r="U10">
        <v>0.15</v>
      </c>
      <c r="V10">
        <v>0.09</v>
      </c>
    </row>
    <row r="11" spans="1:25" x14ac:dyDescent="0.25">
      <c r="A11" s="3">
        <f>(A$2+A$2*M11+A$2*L11)*(1+K11)</f>
        <v>481.44</v>
      </c>
      <c r="B11" s="3">
        <f>(B$2+B$2*M11+B$2*L11)*(1+K11)</f>
        <v>559.98</v>
      </c>
      <c r="C11" s="3">
        <f>(C$2+C$2*M11+C$2*L11)*(1+K11)</f>
        <v>588.54</v>
      </c>
      <c r="D11" s="3">
        <v>2</v>
      </c>
      <c r="E11" s="3">
        <v>0</v>
      </c>
      <c r="F11" s="3">
        <v>0</v>
      </c>
      <c r="G11" s="3">
        <f>SUMIFS($S$2:$S$10,$R$2:$R$10,D11)</f>
        <v>2</v>
      </c>
      <c r="H11" s="3">
        <f>SUMIFS($S$2:$S$10,$R$2:$R$10,E11)</f>
        <v>0</v>
      </c>
      <c r="I11" s="3">
        <f>SUMIFS($S$2:$S$10,$R$2:$R$10,F11)</f>
        <v>0</v>
      </c>
      <c r="J11" s="3">
        <f>SUM(G11:I11)</f>
        <v>2</v>
      </c>
      <c r="K11" s="3">
        <f>SUMIFS($T$2:$T$10,$R$2:$R$10,E11)</f>
        <v>0</v>
      </c>
      <c r="L11" s="3">
        <f>SUMIFS($V$2:$V$10,$R$2:$R$10,F11)</f>
        <v>0</v>
      </c>
      <c r="M11" s="3">
        <f>SUMIFS($U$2:$U$10,$R$2:$R$10,D11)</f>
        <v>0.02</v>
      </c>
    </row>
    <row r="12" spans="1:25" x14ac:dyDescent="0.25">
      <c r="A12" s="2">
        <f>(A$2+A$2*K12+A$2*M12)*(1+L12)</f>
        <v>481.44000000000005</v>
      </c>
      <c r="B12" s="2">
        <f>(B$2+B$2*K12+B$2*M12)*(1+L12)</f>
        <v>559.98</v>
      </c>
      <c r="C12" s="2">
        <f>(C$2+C$2*K12+C$2*M12)*(1+L12)</f>
        <v>588.54</v>
      </c>
      <c r="D12" s="2">
        <v>1</v>
      </c>
      <c r="E12" s="2">
        <v>1</v>
      </c>
      <c r="F12" s="2">
        <v>0</v>
      </c>
      <c r="G12" s="2">
        <f>SUMIFS($S$2:$S$10,$R$2:$R$10,D12)</f>
        <v>1</v>
      </c>
      <c r="H12" s="2">
        <f>SUMIFS($S$2:$S$10,$R$2:$R$10,E12)</f>
        <v>1</v>
      </c>
      <c r="I12" s="2">
        <f>SUMIFS($S$2:$S$10,$R$2:$R$10,F12)</f>
        <v>0</v>
      </c>
      <c r="J12" s="2">
        <f>SUM(G12:I12)</f>
        <v>2</v>
      </c>
      <c r="K12" s="2">
        <f>SUMIFS($U$2:$U$10,$R$2:$R$10,E12)</f>
        <v>0.01</v>
      </c>
      <c r="L12" s="2">
        <f>SUMIFS($T$2:$T$10,$R$2:$R$10,F12)</f>
        <v>0</v>
      </c>
      <c r="M12" s="2">
        <f>SUMIFS($V$2:$V$10,$R$2:$R$10,D12)</f>
        <v>0.01</v>
      </c>
    </row>
    <row r="13" spans="1:25" x14ac:dyDescent="0.25">
      <c r="A13" s="2">
        <f>(A$2+A$2*K13+A$2*M13)*(1+L13)</f>
        <v>481.44</v>
      </c>
      <c r="B13" s="2">
        <f>(B$2+B$2*K13+B$2*M13)*(1+L13)</f>
        <v>559.98</v>
      </c>
      <c r="C13" s="2">
        <f>(C$2+C$2*K13+C$2*M13)*(1+L13)</f>
        <v>588.54</v>
      </c>
      <c r="D13" s="2">
        <v>2</v>
      </c>
      <c r="E13" s="2">
        <v>0</v>
      </c>
      <c r="F13" s="2">
        <v>0</v>
      </c>
      <c r="G13" s="2">
        <f>SUMIFS($S$2:$S$10,$R$2:$R$10,D13)</f>
        <v>2</v>
      </c>
      <c r="H13" s="2">
        <f>SUMIFS($S$2:$S$10,$R$2:$R$10,E13)</f>
        <v>0</v>
      </c>
      <c r="I13" s="2">
        <f>SUMIFS($S$2:$S$10,$R$2:$R$10,F13)</f>
        <v>0</v>
      </c>
      <c r="J13" s="2">
        <f>SUM(G13:I13)</f>
        <v>2</v>
      </c>
      <c r="K13" s="2">
        <f>SUMIFS($U$2:$U$10,$R$2:$R$10,E13)</f>
        <v>0</v>
      </c>
      <c r="L13" s="2">
        <f>SUMIFS($T$2:$T$10,$R$2:$R$10,F13)</f>
        <v>0</v>
      </c>
      <c r="M13" s="2">
        <f>SUMIFS($V$2:$V$10,$R$2:$R$10,D13)</f>
        <v>0.02</v>
      </c>
    </row>
    <row r="14" spans="1:25" x14ac:dyDescent="0.25">
      <c r="A14" s="1">
        <f>(A$2+A$2*K14+A$2*L14)*(1+M14)</f>
        <v>544.02719999999999</v>
      </c>
      <c r="B14" s="1">
        <f>(B$2+B$2*K14+B$2*L14)*(1+M14)</f>
        <v>632.77739999999994</v>
      </c>
      <c r="C14" s="1">
        <f>(C$2+C$2*K14+C$2*L14)*(1+M14)</f>
        <v>665.0501999999999</v>
      </c>
      <c r="D14" s="1">
        <v>1</v>
      </c>
      <c r="E14" s="1">
        <v>1</v>
      </c>
      <c r="F14" s="1">
        <v>1</v>
      </c>
      <c r="G14" s="1">
        <f>SUMIFS($S$2:$S$10,$R$2:$R$10,D14)</f>
        <v>1</v>
      </c>
      <c r="H14" s="1">
        <f>SUMIFS($S$2:$S$10,$R$2:$R$10,E14)</f>
        <v>1</v>
      </c>
      <c r="I14" s="1">
        <f>SUMIFS($S$2:$S$10,$R$2:$R$10,F14)</f>
        <v>1</v>
      </c>
      <c r="J14" s="1">
        <f>SUM(G14:I14)</f>
        <v>3</v>
      </c>
      <c r="K14" s="1">
        <f>SUMIFS($U$2:$U$10,$R$2:$R$10,E14)</f>
        <v>0.01</v>
      </c>
      <c r="L14" s="1">
        <f>SUMIFS($V$2:$V$10,$R$2:$R$10,F14)</f>
        <v>0.01</v>
      </c>
      <c r="M14" s="1">
        <f>SUMIFS($T$2:$T$10,$R$2:$R$10,D14)</f>
        <v>0.13</v>
      </c>
    </row>
    <row r="15" spans="1:25" x14ac:dyDescent="0.25">
      <c r="A15" s="1">
        <f>(A$2+A$2*K15+A$2*L15)*(1+M15)</f>
        <v>552.99519999999995</v>
      </c>
      <c r="B15" s="1">
        <f>(B$2+B$2*K15+B$2*L15)*(1+M15)</f>
        <v>643.20839999999998</v>
      </c>
      <c r="C15" s="1">
        <f>(C$2+C$2*K15+C$2*L15)*(1+M15)</f>
        <v>676.01319999999998</v>
      </c>
      <c r="D15" s="1">
        <v>2</v>
      </c>
      <c r="E15" s="1">
        <v>0</v>
      </c>
      <c r="F15" s="1">
        <v>1</v>
      </c>
      <c r="G15" s="1">
        <f>SUMIFS($S$2:$S$10,$R$2:$R$10,D15)</f>
        <v>2</v>
      </c>
      <c r="H15" s="1">
        <f>SUMIFS($S$2:$S$10,$R$2:$R$10,E15)</f>
        <v>0</v>
      </c>
      <c r="I15" s="1">
        <f>SUMIFS($S$2:$S$10,$R$2:$R$10,F15)</f>
        <v>1</v>
      </c>
      <c r="J15" s="1">
        <f>SUM(G15:I15)</f>
        <v>3</v>
      </c>
      <c r="K15" s="1">
        <f>SUMIFS($U$2:$U$10,$R$2:$R$10,E15)</f>
        <v>0</v>
      </c>
      <c r="L15" s="1">
        <f>SUMIFS($V$2:$V$10,$R$2:$R$10,F15)</f>
        <v>0.01</v>
      </c>
      <c r="M15" s="1">
        <f>SUMIFS($T$2:$T$10,$R$2:$R$10,D15)</f>
        <v>0.16</v>
      </c>
    </row>
    <row r="16" spans="1:25" x14ac:dyDescent="0.25">
      <c r="A16" s="1">
        <f>(A$2+A$2*K16+A$2*L16)*(1+M16)</f>
        <v>552.99519999999995</v>
      </c>
      <c r="B16" s="1">
        <f>(B$2+B$2*K16+B$2*L16)*(1+M16)</f>
        <v>643.20839999999998</v>
      </c>
      <c r="C16" s="1">
        <f>(C$2+C$2*K16+C$2*L16)*(1+M16)</f>
        <v>676.01319999999998</v>
      </c>
      <c r="D16" s="1">
        <v>2</v>
      </c>
      <c r="E16" s="1">
        <v>1</v>
      </c>
      <c r="F16" s="1">
        <v>0</v>
      </c>
      <c r="G16" s="1">
        <f>SUMIFS($S$2:$S$10,$R$2:$R$10,D16)</f>
        <v>2</v>
      </c>
      <c r="H16" s="1">
        <f>SUMIFS($S$2:$S$10,$R$2:$R$10,E16)</f>
        <v>1</v>
      </c>
      <c r="I16" s="1">
        <f>SUMIFS($S$2:$S$10,$R$2:$R$10,F16)</f>
        <v>0</v>
      </c>
      <c r="J16" s="1">
        <f>SUM(G16:I16)</f>
        <v>3</v>
      </c>
      <c r="K16" s="1">
        <f>SUMIFS($U$2:$U$10,$R$2:$R$10,E16)</f>
        <v>0.01</v>
      </c>
      <c r="L16" s="1">
        <f>SUMIFS($V$2:$V$10,$R$2:$R$10,F16)</f>
        <v>0</v>
      </c>
      <c r="M16" s="1">
        <f>SUMIFS($T$2:$T$10,$R$2:$R$10,D16)</f>
        <v>0.16</v>
      </c>
    </row>
    <row r="17" spans="1:13" x14ac:dyDescent="0.25">
      <c r="A17" s="3">
        <f>(A$2+A$2*M17+A$2*L17)*(1+K17)</f>
        <v>544.02719999999999</v>
      </c>
      <c r="B17" s="3">
        <f>(B$2+B$2*M17+B$2*L17)*(1+K17)</f>
        <v>632.77739999999994</v>
      </c>
      <c r="C17" s="3">
        <f>(C$2+C$2*M17+C$2*L17)*(1+K17)</f>
        <v>665.0501999999999</v>
      </c>
      <c r="D17" s="3">
        <v>1</v>
      </c>
      <c r="E17" s="3">
        <v>1</v>
      </c>
      <c r="F17" s="3">
        <v>1</v>
      </c>
      <c r="G17" s="3">
        <f>SUMIFS($S$2:$S$10,$R$2:$R$10,D17)</f>
        <v>1</v>
      </c>
      <c r="H17" s="3">
        <f>SUMIFS($S$2:$S$10,$R$2:$R$10,E17)</f>
        <v>1</v>
      </c>
      <c r="I17" s="3">
        <f>SUMIFS($S$2:$S$10,$R$2:$R$10,F17)</f>
        <v>1</v>
      </c>
      <c r="J17" s="3">
        <f>SUM(G17:I17)</f>
        <v>3</v>
      </c>
      <c r="K17" s="3">
        <f>SUMIFS($T$2:$T$10,$R$2:$R$10,E17)</f>
        <v>0.13</v>
      </c>
      <c r="L17" s="3">
        <f>SUMIFS($V$2:$V$10,$R$2:$R$10,F17)</f>
        <v>0.01</v>
      </c>
      <c r="M17" s="3">
        <f>SUMIFS($U$2:$U$10,$R$2:$R$10,D17)</f>
        <v>0.01</v>
      </c>
    </row>
    <row r="18" spans="1:13" x14ac:dyDescent="0.25">
      <c r="A18" s="3">
        <f>(A$2+A$2*M18+A$2*L18)*(1+K18)</f>
        <v>486.16</v>
      </c>
      <c r="B18" s="3">
        <f>(B$2+B$2*M18+B$2*L18)*(1+K18)</f>
        <v>565.47</v>
      </c>
      <c r="C18" s="3">
        <f>(C$2+C$2*M18+C$2*L18)*(1+K18)</f>
        <v>594.30999999999995</v>
      </c>
      <c r="D18" s="3">
        <v>2</v>
      </c>
      <c r="E18" s="3">
        <v>0</v>
      </c>
      <c r="F18" s="3">
        <v>1</v>
      </c>
      <c r="G18" s="3">
        <f>SUMIFS($S$2:$S$10,$R$2:$R$10,D18)</f>
        <v>2</v>
      </c>
      <c r="H18" s="3">
        <f>SUMIFS($S$2:$S$10,$R$2:$R$10,E18)</f>
        <v>0</v>
      </c>
      <c r="I18" s="3">
        <f>SUMIFS($S$2:$S$10,$R$2:$R$10,F18)</f>
        <v>1</v>
      </c>
      <c r="J18" s="3">
        <f>SUM(G18:I18)</f>
        <v>3</v>
      </c>
      <c r="K18" s="3">
        <f>SUMIFS($T$2:$T$10,$R$2:$R$10,E18)</f>
        <v>0</v>
      </c>
      <c r="L18" s="3">
        <f>SUMIFS($V$2:$V$10,$R$2:$R$10,F18)</f>
        <v>0.01</v>
      </c>
      <c r="M18" s="3">
        <f>SUMIFS($U$2:$U$10,$R$2:$R$10,D18)</f>
        <v>0.02</v>
      </c>
    </row>
    <row r="19" spans="1:13" x14ac:dyDescent="0.25">
      <c r="A19" s="3">
        <f>(A$2+A$2*M19+A$2*L19)*(1+K19)</f>
        <v>544.02719999999999</v>
      </c>
      <c r="B19" s="3">
        <f>(B$2+B$2*M19+B$2*L19)*(1+K19)</f>
        <v>632.77739999999994</v>
      </c>
      <c r="C19" s="3">
        <f>(C$2+C$2*M19+C$2*L19)*(1+K19)</f>
        <v>665.0501999999999</v>
      </c>
      <c r="D19" s="3">
        <v>2</v>
      </c>
      <c r="E19" s="3">
        <v>1</v>
      </c>
      <c r="F19" s="3">
        <v>0</v>
      </c>
      <c r="G19" s="3">
        <f>SUMIFS($S$2:$S$10,$R$2:$R$10,D19)</f>
        <v>2</v>
      </c>
      <c r="H19" s="3">
        <f>SUMIFS($S$2:$S$10,$R$2:$R$10,E19)</f>
        <v>1</v>
      </c>
      <c r="I19" s="3">
        <f>SUMIFS($S$2:$S$10,$R$2:$R$10,F19)</f>
        <v>0</v>
      </c>
      <c r="J19" s="3">
        <f>SUM(G19:I19)</f>
        <v>3</v>
      </c>
      <c r="K19" s="3">
        <f>SUMIFS($T$2:$T$10,$R$2:$R$10,E19)</f>
        <v>0.13</v>
      </c>
      <c r="L19" s="3">
        <f>SUMIFS($V$2:$V$10,$R$2:$R$10,F19)</f>
        <v>0</v>
      </c>
      <c r="M19" s="3">
        <f>SUMIFS($U$2:$U$10,$R$2:$R$10,D19)</f>
        <v>0.02</v>
      </c>
    </row>
    <row r="20" spans="1:13" x14ac:dyDescent="0.25">
      <c r="A20" s="2">
        <f>(A$2+A$2*K20+A$2*M20)*(1+L20)</f>
        <v>544.02719999999999</v>
      </c>
      <c r="B20" s="2">
        <f>(B$2+B$2*K20+B$2*M20)*(1+L20)</f>
        <v>632.77739999999994</v>
      </c>
      <c r="C20" s="2">
        <f>(C$2+C$2*K20+C$2*M20)*(1+L20)</f>
        <v>665.0501999999999</v>
      </c>
      <c r="D20" s="2">
        <v>1</v>
      </c>
      <c r="E20" s="2">
        <v>1</v>
      </c>
      <c r="F20" s="2">
        <v>1</v>
      </c>
      <c r="G20" s="2">
        <f>SUMIFS($S$2:$S$10,$R$2:$R$10,D20)</f>
        <v>1</v>
      </c>
      <c r="H20" s="2">
        <f>SUMIFS($S$2:$S$10,$R$2:$R$10,E20)</f>
        <v>1</v>
      </c>
      <c r="I20" s="2">
        <f>SUMIFS($S$2:$S$10,$R$2:$R$10,F20)</f>
        <v>1</v>
      </c>
      <c r="J20" s="2">
        <f>SUM(G20:I20)</f>
        <v>3</v>
      </c>
      <c r="K20" s="2">
        <f>SUMIFS($U$2:$U$10,$R$2:$R$10,E20)</f>
        <v>0.01</v>
      </c>
      <c r="L20" s="2">
        <f>SUMIFS($T$2:$T$10,$R$2:$R$10,F20)</f>
        <v>0.13</v>
      </c>
      <c r="M20" s="2">
        <f>SUMIFS($V$2:$V$10,$R$2:$R$10,D20)</f>
        <v>0.01</v>
      </c>
    </row>
    <row r="21" spans="1:13" x14ac:dyDescent="0.25">
      <c r="A21" s="2">
        <f>(A$2+A$2*K21+A$2*M21)*(1+L21)</f>
        <v>544.02719999999999</v>
      </c>
      <c r="B21" s="2">
        <f>(B$2+B$2*K21+B$2*M21)*(1+L21)</f>
        <v>632.77739999999994</v>
      </c>
      <c r="C21" s="2">
        <f>(C$2+C$2*K21+C$2*M21)*(1+L21)</f>
        <v>665.0501999999999</v>
      </c>
      <c r="D21" s="2">
        <v>2</v>
      </c>
      <c r="E21" s="2">
        <v>0</v>
      </c>
      <c r="F21" s="2">
        <v>1</v>
      </c>
      <c r="G21" s="2">
        <f>SUMIFS($S$2:$S$10,$R$2:$R$10,D21)</f>
        <v>2</v>
      </c>
      <c r="H21" s="2">
        <f>SUMIFS($S$2:$S$10,$R$2:$R$10,E21)</f>
        <v>0</v>
      </c>
      <c r="I21" s="2">
        <f>SUMIFS($S$2:$S$10,$R$2:$R$10,F21)</f>
        <v>1</v>
      </c>
      <c r="J21" s="2">
        <f>SUM(G21:I21)</f>
        <v>3</v>
      </c>
      <c r="K21" s="2">
        <f>SUMIFS($U$2:$U$10,$R$2:$R$10,E21)</f>
        <v>0</v>
      </c>
      <c r="L21" s="2">
        <f>SUMIFS($T$2:$T$10,$R$2:$R$10,F21)</f>
        <v>0.13</v>
      </c>
      <c r="M21" s="2">
        <f>SUMIFS($V$2:$V$10,$R$2:$R$10,D21)</f>
        <v>0.02</v>
      </c>
    </row>
    <row r="22" spans="1:13" x14ac:dyDescent="0.25">
      <c r="A22" s="2">
        <f>(A$2+A$2*K22+A$2*M22)*(1+L22)</f>
        <v>486.16</v>
      </c>
      <c r="B22" s="2">
        <f>(B$2+B$2*K22+B$2*M22)*(1+L22)</f>
        <v>565.47</v>
      </c>
      <c r="C22" s="2">
        <f>(C$2+C$2*K22+C$2*M22)*(1+L22)</f>
        <v>594.30999999999995</v>
      </c>
      <c r="D22" s="2">
        <v>2</v>
      </c>
      <c r="E22" s="2">
        <v>1</v>
      </c>
      <c r="F22" s="2">
        <v>0</v>
      </c>
      <c r="G22" s="2">
        <f>SUMIFS($S$2:$S$10,$R$2:$R$10,D22)</f>
        <v>2</v>
      </c>
      <c r="H22" s="2">
        <f>SUMIFS($S$2:$S$10,$R$2:$R$10,E22)</f>
        <v>1</v>
      </c>
      <c r="I22" s="2">
        <f>SUMIFS($S$2:$S$10,$R$2:$R$10,F22)</f>
        <v>0</v>
      </c>
      <c r="J22" s="2">
        <f>SUM(G22:I22)</f>
        <v>3</v>
      </c>
      <c r="K22" s="2">
        <f>SUMIFS($U$2:$U$10,$R$2:$R$10,E22)</f>
        <v>0.01</v>
      </c>
      <c r="L22" s="2">
        <f>SUMIFS($T$2:$T$10,$R$2:$R$10,F22)</f>
        <v>0</v>
      </c>
      <c r="M22" s="2">
        <f>SUMIFS($V$2:$V$10,$R$2:$R$10,D22)</f>
        <v>0.02</v>
      </c>
    </row>
    <row r="23" spans="1:13" x14ac:dyDescent="0.25">
      <c r="A23" s="1">
        <f>(A$2+A$2*K23+A$2*L23)*(1+M23)</f>
        <v>558.47039999999993</v>
      </c>
      <c r="B23" s="1">
        <f>(B$2+B$2*K23+B$2*L23)*(1+M23)</f>
        <v>649.57679999999993</v>
      </c>
      <c r="C23" s="1">
        <f>(C$2+C$2*K23+C$2*L23)*(1+M23)</f>
        <v>682.70639999999992</v>
      </c>
      <c r="D23" s="1">
        <v>2</v>
      </c>
      <c r="E23" s="1">
        <v>0</v>
      </c>
      <c r="F23" s="1">
        <v>2</v>
      </c>
      <c r="G23" s="1">
        <f>SUMIFS($S$2:$S$10,$R$2:$R$10,D23)</f>
        <v>2</v>
      </c>
      <c r="H23" s="1">
        <f>SUMIFS($S$2:$S$10,$R$2:$R$10,E23)</f>
        <v>0</v>
      </c>
      <c r="I23" s="1">
        <f>SUMIFS($S$2:$S$10,$R$2:$R$10,F23)</f>
        <v>2</v>
      </c>
      <c r="J23" s="1">
        <f>SUM(G23:I23)</f>
        <v>4</v>
      </c>
      <c r="K23" s="1">
        <f>SUMIFS($U$2:$U$10,$R$2:$R$10,E23)</f>
        <v>0</v>
      </c>
      <c r="L23" s="1">
        <f>SUMIFS($V$2:$V$10,$R$2:$R$10,F23)</f>
        <v>0.02</v>
      </c>
      <c r="M23" s="1">
        <f>SUMIFS($T$2:$T$10,$R$2:$R$10,D23)</f>
        <v>0.16</v>
      </c>
    </row>
    <row r="24" spans="1:13" x14ac:dyDescent="0.25">
      <c r="A24" s="1">
        <f>(A$2+A$2*K24+A$2*L24)*(1+M24)</f>
        <v>558.47040000000004</v>
      </c>
      <c r="B24" s="1">
        <f>(B$2+B$2*K24+B$2*L24)*(1+M24)</f>
        <v>649.57679999999993</v>
      </c>
      <c r="C24" s="1">
        <f>(C$2+C$2*K24+C$2*L24)*(1+M24)</f>
        <v>682.70639999999992</v>
      </c>
      <c r="D24" s="1">
        <v>2</v>
      </c>
      <c r="E24" s="1">
        <v>1</v>
      </c>
      <c r="F24" s="1">
        <v>1</v>
      </c>
      <c r="G24" s="1">
        <f>SUMIFS($S$2:$S$10,$R$2:$R$10,D24)</f>
        <v>2</v>
      </c>
      <c r="H24" s="1">
        <f>SUMIFS($S$2:$S$10,$R$2:$R$10,E24)</f>
        <v>1</v>
      </c>
      <c r="I24" s="1">
        <f>SUMIFS($S$2:$S$10,$R$2:$R$10,F24)</f>
        <v>1</v>
      </c>
      <c r="J24" s="1">
        <f>SUM(G24:I24)</f>
        <v>4</v>
      </c>
      <c r="K24" s="1">
        <f>SUMIFS($U$2:$U$10,$R$2:$R$10,E24)</f>
        <v>0.01</v>
      </c>
      <c r="L24" s="1">
        <f>SUMIFS($V$2:$V$10,$R$2:$R$10,F24)</f>
        <v>0.01</v>
      </c>
      <c r="M24" s="1">
        <f>SUMIFS($T$2:$T$10,$R$2:$R$10,D24)</f>
        <v>0.16</v>
      </c>
    </row>
    <row r="25" spans="1:13" x14ac:dyDescent="0.25">
      <c r="A25" s="1">
        <f>(A$2+A$2*K25+A$2*L25)*(1+M25)</f>
        <v>558.47039999999993</v>
      </c>
      <c r="B25" s="1">
        <f>(B$2+B$2*K25+B$2*L25)*(1+M25)</f>
        <v>649.57679999999993</v>
      </c>
      <c r="C25" s="1">
        <f>(C$2+C$2*K25+C$2*L25)*(1+M25)</f>
        <v>682.70639999999992</v>
      </c>
      <c r="D25" s="1">
        <v>2</v>
      </c>
      <c r="E25" s="1">
        <v>2</v>
      </c>
      <c r="F25" s="1">
        <v>0</v>
      </c>
      <c r="G25" s="1">
        <f>SUMIFS($S$2:$S$10,$R$2:$R$10,D25)</f>
        <v>2</v>
      </c>
      <c r="H25" s="1">
        <f>SUMIFS($S$2:$S$10,$R$2:$R$10,E25)</f>
        <v>2</v>
      </c>
      <c r="I25" s="1">
        <f>SUMIFS($S$2:$S$10,$R$2:$R$10,F25)</f>
        <v>0</v>
      </c>
      <c r="J25" s="1">
        <f>SUM(G25:I25)</f>
        <v>4</v>
      </c>
      <c r="K25" s="1">
        <f>SUMIFS($U$2:$U$10,$R$2:$R$10,E25)</f>
        <v>0.02</v>
      </c>
      <c r="L25" s="1">
        <f>SUMIFS($V$2:$V$10,$R$2:$R$10,F25)</f>
        <v>0</v>
      </c>
      <c r="M25" s="1">
        <f>SUMIFS($T$2:$T$10,$R$2:$R$10,D25)</f>
        <v>0.16</v>
      </c>
    </row>
    <row r="26" spans="1:13" x14ac:dyDescent="0.25">
      <c r="A26" s="1">
        <f>(A$2+A$2*K26+A$2*L26)*(1+M26)</f>
        <v>561.67999999999995</v>
      </c>
      <c r="B26" s="1">
        <f>(B$2+B$2*K26+B$2*L26)*(1+M26)</f>
        <v>653.30999999999995</v>
      </c>
      <c r="C26" s="1">
        <f>(C$2+C$2*K26+C$2*L26)*(1+M26)</f>
        <v>686.63</v>
      </c>
      <c r="D26" s="1">
        <v>3</v>
      </c>
      <c r="E26" s="1">
        <v>0</v>
      </c>
      <c r="F26" s="1">
        <v>0</v>
      </c>
      <c r="G26" s="1">
        <f>SUMIFS($S$2:$S$10,$R$2:$R$10,D26)</f>
        <v>4</v>
      </c>
      <c r="H26" s="1">
        <f>SUMIFS($S$2:$S$10,$R$2:$R$10,E26)</f>
        <v>0</v>
      </c>
      <c r="I26" s="1">
        <f>SUMIFS($S$2:$S$10,$R$2:$R$10,F26)</f>
        <v>0</v>
      </c>
      <c r="J26" s="1">
        <f>SUM(G26:I26)</f>
        <v>4</v>
      </c>
      <c r="K26" s="1">
        <f>SUMIFS($U$2:$U$10,$R$2:$R$10,E26)</f>
        <v>0</v>
      </c>
      <c r="L26" s="1">
        <f>SUMIFS($V$2:$V$10,$R$2:$R$10,F26)</f>
        <v>0</v>
      </c>
      <c r="M26" s="1">
        <f>SUMIFS($T$2:$T$10,$R$2:$R$10,D26)</f>
        <v>0.19</v>
      </c>
    </row>
    <row r="27" spans="1:13" x14ac:dyDescent="0.25">
      <c r="A27" s="3">
        <f>(A$2+A$2*M27+A$2*L27)*(1+K27)</f>
        <v>490.88</v>
      </c>
      <c r="B27" s="3">
        <f>(B$2+B$2*M27+B$2*L27)*(1+K27)</f>
        <v>570.96</v>
      </c>
      <c r="C27" s="3">
        <f>(C$2+C$2*M27+C$2*L27)*(1+K27)</f>
        <v>600.07999999999993</v>
      </c>
      <c r="D27" s="3">
        <v>2</v>
      </c>
      <c r="E27" s="3">
        <v>0</v>
      </c>
      <c r="F27" s="3">
        <v>2</v>
      </c>
      <c r="G27" s="3">
        <f>SUMIFS($S$2:$S$10,$R$2:$R$10,D27)</f>
        <v>2</v>
      </c>
      <c r="H27" s="3">
        <f>SUMIFS($S$2:$S$10,$R$2:$R$10,E27)</f>
        <v>0</v>
      </c>
      <c r="I27" s="3">
        <f>SUMIFS($S$2:$S$10,$R$2:$R$10,F27)</f>
        <v>2</v>
      </c>
      <c r="J27" s="3">
        <f>SUM(G27:I27)</f>
        <v>4</v>
      </c>
      <c r="K27" s="3">
        <f>SUMIFS($T$2:$T$10,$R$2:$R$10,E27)</f>
        <v>0</v>
      </c>
      <c r="L27" s="3">
        <f>SUMIFS($V$2:$V$10,$R$2:$R$10,F27)</f>
        <v>0.02</v>
      </c>
      <c r="M27" s="3">
        <f>SUMIFS($U$2:$U$10,$R$2:$R$10,D27)</f>
        <v>0.02</v>
      </c>
    </row>
    <row r="28" spans="1:13" x14ac:dyDescent="0.25">
      <c r="A28" s="3">
        <f>(A$2+A$2*M28+A$2*L28)*(1+K28)</f>
        <v>549.36079999999993</v>
      </c>
      <c r="B28" s="3">
        <f>(B$2+B$2*M28+B$2*L28)*(1+K28)</f>
        <v>638.98109999999997</v>
      </c>
      <c r="C28" s="3">
        <f>(C$2+C$2*M28+C$2*L28)*(1+K28)</f>
        <v>671.57029999999986</v>
      </c>
      <c r="D28" s="3">
        <v>2</v>
      </c>
      <c r="E28" s="3">
        <v>1</v>
      </c>
      <c r="F28" s="3">
        <v>1</v>
      </c>
      <c r="G28" s="3">
        <f>SUMIFS($S$2:$S$10,$R$2:$R$10,D28)</f>
        <v>2</v>
      </c>
      <c r="H28" s="3">
        <f>SUMIFS($S$2:$S$10,$R$2:$R$10,E28)</f>
        <v>1</v>
      </c>
      <c r="I28" s="3">
        <f>SUMIFS($S$2:$S$10,$R$2:$R$10,F28)</f>
        <v>1</v>
      </c>
      <c r="J28" s="3">
        <f>SUM(G28:I28)</f>
        <v>4</v>
      </c>
      <c r="K28" s="3">
        <f>SUMIFS($T$2:$T$10,$R$2:$R$10,E28)</f>
        <v>0.13</v>
      </c>
      <c r="L28" s="3">
        <f>SUMIFS($V$2:$V$10,$R$2:$R$10,F28)</f>
        <v>0.01</v>
      </c>
      <c r="M28" s="3">
        <f>SUMIFS($U$2:$U$10,$R$2:$R$10,D28)</f>
        <v>0.02</v>
      </c>
    </row>
    <row r="29" spans="1:13" x14ac:dyDescent="0.25">
      <c r="A29" s="3">
        <f>(A$2+A$2*M29+A$2*L29)*(1+K29)</f>
        <v>558.47039999999993</v>
      </c>
      <c r="B29" s="3">
        <f>(B$2+B$2*M29+B$2*L29)*(1+K29)</f>
        <v>649.57679999999993</v>
      </c>
      <c r="C29" s="3">
        <f>(C$2+C$2*M29+C$2*L29)*(1+K29)</f>
        <v>682.70639999999992</v>
      </c>
      <c r="D29" s="3">
        <v>2</v>
      </c>
      <c r="E29" s="3">
        <v>2</v>
      </c>
      <c r="F29" s="3">
        <v>0</v>
      </c>
      <c r="G29" s="3">
        <f>SUMIFS($S$2:$S$10,$R$2:$R$10,D29)</f>
        <v>2</v>
      </c>
      <c r="H29" s="3">
        <f>SUMIFS($S$2:$S$10,$R$2:$R$10,E29)</f>
        <v>2</v>
      </c>
      <c r="I29" s="3">
        <f>SUMIFS($S$2:$S$10,$R$2:$R$10,F29)</f>
        <v>0</v>
      </c>
      <c r="J29" s="3">
        <f>SUM(G29:I29)</f>
        <v>4</v>
      </c>
      <c r="K29" s="3">
        <f>SUMIFS($T$2:$T$10,$R$2:$R$10,E29)</f>
        <v>0.16</v>
      </c>
      <c r="L29" s="3">
        <f>SUMIFS($V$2:$V$10,$R$2:$R$10,F29)</f>
        <v>0</v>
      </c>
      <c r="M29" s="3">
        <f>SUMIFS($U$2:$U$10,$R$2:$R$10,D29)</f>
        <v>0.02</v>
      </c>
    </row>
    <row r="30" spans="1:13" x14ac:dyDescent="0.25">
      <c r="A30" s="3">
        <f>(A$2+A$2*M30+A$2*L30)*(1+K30)</f>
        <v>486.16</v>
      </c>
      <c r="B30" s="3">
        <f>(B$2+B$2*M30+B$2*L30)*(1+K30)</f>
        <v>565.47</v>
      </c>
      <c r="C30" s="3">
        <f>(C$2+C$2*M30+C$2*L30)*(1+K30)</f>
        <v>594.30999999999995</v>
      </c>
      <c r="D30" s="3">
        <v>3</v>
      </c>
      <c r="E30" s="3">
        <v>0</v>
      </c>
      <c r="F30" s="3">
        <v>0</v>
      </c>
      <c r="G30" s="3">
        <f>SUMIFS($S$2:$S$10,$R$2:$R$10,D30)</f>
        <v>4</v>
      </c>
      <c r="H30" s="3">
        <f>SUMIFS($S$2:$S$10,$R$2:$R$10,E30)</f>
        <v>0</v>
      </c>
      <c r="I30" s="3">
        <f>SUMIFS($S$2:$S$10,$R$2:$R$10,F30)</f>
        <v>0</v>
      </c>
      <c r="J30" s="3">
        <f>SUM(G30:I30)</f>
        <v>4</v>
      </c>
      <c r="K30" s="3">
        <f>SUMIFS($T$2:$T$10,$R$2:$R$10,E30)</f>
        <v>0</v>
      </c>
      <c r="L30" s="3">
        <f>SUMIFS($V$2:$V$10,$R$2:$R$10,F30)</f>
        <v>0</v>
      </c>
      <c r="M30" s="3">
        <f>SUMIFS($U$2:$U$10,$R$2:$R$10,D30)</f>
        <v>0.03</v>
      </c>
    </row>
    <row r="31" spans="1:13" x14ac:dyDescent="0.25">
      <c r="A31" s="2">
        <f>(A$2+A$2*K31+A$2*M31)*(1+L31)</f>
        <v>558.47039999999993</v>
      </c>
      <c r="B31" s="2">
        <f>(B$2+B$2*K31+B$2*M31)*(1+L31)</f>
        <v>649.57679999999993</v>
      </c>
      <c r="C31" s="2">
        <f>(C$2+C$2*K31+C$2*M31)*(1+L31)</f>
        <v>682.70639999999992</v>
      </c>
      <c r="D31" s="2">
        <v>2</v>
      </c>
      <c r="E31" s="2">
        <v>0</v>
      </c>
      <c r="F31" s="2">
        <v>2</v>
      </c>
      <c r="G31" s="2">
        <f>SUMIFS($S$2:$S$10,$R$2:$R$10,D31)</f>
        <v>2</v>
      </c>
      <c r="H31" s="2">
        <f>SUMIFS($S$2:$S$10,$R$2:$R$10,E31)</f>
        <v>0</v>
      </c>
      <c r="I31" s="2">
        <f>SUMIFS($S$2:$S$10,$R$2:$R$10,F31)</f>
        <v>2</v>
      </c>
      <c r="J31" s="2">
        <f>SUM(G31:I31)</f>
        <v>4</v>
      </c>
      <c r="K31" s="2">
        <f>SUMIFS($U$2:$U$10,$R$2:$R$10,E31)</f>
        <v>0</v>
      </c>
      <c r="L31" s="2">
        <f>SUMIFS($T$2:$T$10,$R$2:$R$10,F31)</f>
        <v>0.16</v>
      </c>
      <c r="M31" s="2">
        <f>SUMIFS($V$2:$V$10,$R$2:$R$10,D31)</f>
        <v>0.02</v>
      </c>
    </row>
    <row r="32" spans="1:13" x14ac:dyDescent="0.25">
      <c r="A32" s="2">
        <f>(A$2+A$2*K32+A$2*M32)*(1+L32)</f>
        <v>549.36079999999993</v>
      </c>
      <c r="B32" s="2">
        <f>(B$2+B$2*K32+B$2*M32)*(1+L32)</f>
        <v>638.98109999999997</v>
      </c>
      <c r="C32" s="2">
        <f>(C$2+C$2*K32+C$2*M32)*(1+L32)</f>
        <v>671.57029999999986</v>
      </c>
      <c r="D32" s="2">
        <v>2</v>
      </c>
      <c r="E32" s="2">
        <v>1</v>
      </c>
      <c r="F32" s="2">
        <v>1</v>
      </c>
      <c r="G32" s="2">
        <f>SUMIFS($S$2:$S$10,$R$2:$R$10,D32)</f>
        <v>2</v>
      </c>
      <c r="H32" s="2">
        <f>SUMIFS($S$2:$S$10,$R$2:$R$10,E32)</f>
        <v>1</v>
      </c>
      <c r="I32" s="2">
        <f>SUMIFS($S$2:$S$10,$R$2:$R$10,F32)</f>
        <v>1</v>
      </c>
      <c r="J32" s="2">
        <f>SUM(G32:I32)</f>
        <v>4</v>
      </c>
      <c r="K32" s="2">
        <f>SUMIFS($U$2:$U$10,$R$2:$R$10,E32)</f>
        <v>0.01</v>
      </c>
      <c r="L32" s="2">
        <f>SUMIFS($T$2:$T$10,$R$2:$R$10,F32)</f>
        <v>0.13</v>
      </c>
      <c r="M32" s="2">
        <f>SUMIFS($V$2:$V$10,$R$2:$R$10,D32)</f>
        <v>0.02</v>
      </c>
    </row>
    <row r="33" spans="1:13" x14ac:dyDescent="0.25">
      <c r="A33" s="2">
        <f>(A$2+A$2*K33+A$2*M33)*(1+L33)</f>
        <v>490.88</v>
      </c>
      <c r="B33" s="2">
        <f>(B$2+B$2*K33+B$2*M33)*(1+L33)</f>
        <v>570.96</v>
      </c>
      <c r="C33" s="2">
        <f>(C$2+C$2*K33+C$2*M33)*(1+L33)</f>
        <v>600.07999999999993</v>
      </c>
      <c r="D33" s="2">
        <v>2</v>
      </c>
      <c r="E33" s="2">
        <v>2</v>
      </c>
      <c r="F33" s="2">
        <v>0</v>
      </c>
      <c r="G33" s="2">
        <f>SUMIFS($S$2:$S$10,$R$2:$R$10,D33)</f>
        <v>2</v>
      </c>
      <c r="H33" s="2">
        <f>SUMIFS($S$2:$S$10,$R$2:$R$10,E33)</f>
        <v>2</v>
      </c>
      <c r="I33" s="2">
        <f>SUMIFS($S$2:$S$10,$R$2:$R$10,F33)</f>
        <v>0</v>
      </c>
      <c r="J33" s="2">
        <f>SUM(G33:I33)</f>
        <v>4</v>
      </c>
      <c r="K33" s="2">
        <f>SUMIFS($U$2:$U$10,$R$2:$R$10,E33)</f>
        <v>0.02</v>
      </c>
      <c r="L33" s="2">
        <f>SUMIFS($T$2:$T$10,$R$2:$R$10,F33)</f>
        <v>0</v>
      </c>
      <c r="M33" s="2">
        <f>SUMIFS($V$2:$V$10,$R$2:$R$10,D33)</f>
        <v>0.02</v>
      </c>
    </row>
    <row r="34" spans="1:13" x14ac:dyDescent="0.25">
      <c r="A34" s="2">
        <f>(A$2+A$2*K34+A$2*M34)*(1+L34)</f>
        <v>486.16</v>
      </c>
      <c r="B34" s="2">
        <f>(B$2+B$2*K34+B$2*M34)*(1+L34)</f>
        <v>565.47</v>
      </c>
      <c r="C34" s="2">
        <f>(C$2+C$2*K34+C$2*M34)*(1+L34)</f>
        <v>594.30999999999995</v>
      </c>
      <c r="D34" s="2">
        <v>3</v>
      </c>
      <c r="E34" s="2">
        <v>0</v>
      </c>
      <c r="F34" s="2">
        <v>0</v>
      </c>
      <c r="G34" s="2">
        <f>SUMIFS($S$2:$S$10,$R$2:$R$10,D34)</f>
        <v>4</v>
      </c>
      <c r="H34" s="2">
        <f>SUMIFS($S$2:$S$10,$R$2:$R$10,E34)</f>
        <v>0</v>
      </c>
      <c r="I34" s="2">
        <f>SUMIFS($S$2:$S$10,$R$2:$R$10,F34)</f>
        <v>0</v>
      </c>
      <c r="J34" s="2">
        <f>SUM(G34:I34)</f>
        <v>4</v>
      </c>
      <c r="K34" s="2">
        <f>SUMIFS($U$2:$U$10,$R$2:$R$10,E34)</f>
        <v>0</v>
      </c>
      <c r="L34" s="2">
        <f>SUMIFS($T$2:$T$10,$R$2:$R$10,F34)</f>
        <v>0</v>
      </c>
      <c r="M34" s="2">
        <f>SUMIFS($V$2:$V$10,$R$2:$R$10,D34)</f>
        <v>0.03</v>
      </c>
    </row>
    <row r="35" spans="1:13" x14ac:dyDescent="0.25">
      <c r="A35" s="1">
        <f>(A$2+A$2*K35+A$2*L35)*(1+M35)</f>
        <v>563.94560000000001</v>
      </c>
      <c r="B35" s="1">
        <f>(B$2+B$2*K35+B$2*L35)*(1+M35)</f>
        <v>655.9452</v>
      </c>
      <c r="C35" s="1">
        <f>(C$2+C$2*K35+C$2*L35)*(1+M35)</f>
        <v>689.39959999999985</v>
      </c>
      <c r="D35" s="1">
        <v>2</v>
      </c>
      <c r="E35" s="1">
        <v>1</v>
      </c>
      <c r="F35" s="1">
        <v>2</v>
      </c>
      <c r="G35" s="1">
        <f>SUMIFS($S$2:$S$10,$R$2:$R$10,D35)</f>
        <v>2</v>
      </c>
      <c r="H35" s="1">
        <f>SUMIFS($S$2:$S$10,$R$2:$R$10,E35)</f>
        <v>1</v>
      </c>
      <c r="I35" s="1">
        <f>SUMIFS($S$2:$S$10,$R$2:$R$10,F35)</f>
        <v>2</v>
      </c>
      <c r="J35" s="1">
        <f>SUM(G35:I35)</f>
        <v>5</v>
      </c>
      <c r="K35" s="1">
        <f>SUMIFS($U$2:$U$10,$R$2:$R$10,E35)</f>
        <v>0.01</v>
      </c>
      <c r="L35" s="1">
        <f>SUMIFS($V$2:$V$10,$R$2:$R$10,F35)</f>
        <v>0.02</v>
      </c>
      <c r="M35" s="1">
        <f>SUMIFS($T$2:$T$10,$R$2:$R$10,D35)</f>
        <v>0.16</v>
      </c>
    </row>
    <row r="36" spans="1:13" x14ac:dyDescent="0.25">
      <c r="A36" s="1">
        <f>(A$2+A$2*K36+A$2*L36)*(1+M36)</f>
        <v>563.94560000000001</v>
      </c>
      <c r="B36" s="1">
        <f>(B$2+B$2*K36+B$2*L36)*(1+M36)</f>
        <v>655.9452</v>
      </c>
      <c r="C36" s="1">
        <f>(C$2+C$2*K36+C$2*L36)*(1+M36)</f>
        <v>689.39959999999985</v>
      </c>
      <c r="D36" s="1">
        <v>2</v>
      </c>
      <c r="E36" s="1">
        <v>2</v>
      </c>
      <c r="F36" s="1">
        <v>1</v>
      </c>
      <c r="G36" s="1">
        <f>SUMIFS($S$2:$S$10,$R$2:$R$10,D36)</f>
        <v>2</v>
      </c>
      <c r="H36" s="1">
        <f>SUMIFS($S$2:$S$10,$R$2:$R$10,E36)</f>
        <v>2</v>
      </c>
      <c r="I36" s="1">
        <f>SUMIFS($S$2:$S$10,$R$2:$R$10,F36)</f>
        <v>1</v>
      </c>
      <c r="J36" s="1">
        <f>SUM(G36:I36)</f>
        <v>5</v>
      </c>
      <c r="K36" s="1">
        <f>SUMIFS($U$2:$U$10,$R$2:$R$10,E36)</f>
        <v>0.02</v>
      </c>
      <c r="L36" s="1">
        <f>SUMIFS($V$2:$V$10,$R$2:$R$10,F36)</f>
        <v>0.01</v>
      </c>
      <c r="M36" s="1">
        <f>SUMIFS($T$2:$T$10,$R$2:$R$10,D36)</f>
        <v>0.16</v>
      </c>
    </row>
    <row r="37" spans="1:13" x14ac:dyDescent="0.25">
      <c r="A37" s="1">
        <f>(A$2+A$2*K37+A$2*L37)*(1+M37)</f>
        <v>567.29679999999996</v>
      </c>
      <c r="B37" s="1">
        <f>(B$2+B$2*K37+B$2*L37)*(1+M37)</f>
        <v>659.84309999999994</v>
      </c>
      <c r="C37" s="1">
        <f>(C$2+C$2*K37+C$2*L37)*(1+M37)</f>
        <v>693.49629999999991</v>
      </c>
      <c r="D37" s="1">
        <v>3</v>
      </c>
      <c r="E37" s="1">
        <v>0</v>
      </c>
      <c r="F37" s="1">
        <v>1</v>
      </c>
      <c r="G37" s="1">
        <f>SUMIFS($S$2:$S$10,$R$2:$R$10,D37)</f>
        <v>4</v>
      </c>
      <c r="H37" s="1">
        <f>SUMIFS($S$2:$S$10,$R$2:$R$10,E37)</f>
        <v>0</v>
      </c>
      <c r="I37" s="1">
        <f>SUMIFS($S$2:$S$10,$R$2:$R$10,F37)</f>
        <v>1</v>
      </c>
      <c r="J37" s="1">
        <f>SUM(G37:I37)</f>
        <v>5</v>
      </c>
      <c r="K37" s="1">
        <f>SUMIFS($U$2:$U$10,$R$2:$R$10,E37)</f>
        <v>0</v>
      </c>
      <c r="L37" s="1">
        <f>SUMIFS($V$2:$V$10,$R$2:$R$10,F37)</f>
        <v>0.01</v>
      </c>
      <c r="M37" s="1">
        <f>SUMIFS($T$2:$T$10,$R$2:$R$10,D37)</f>
        <v>0.19</v>
      </c>
    </row>
    <row r="38" spans="1:13" x14ac:dyDescent="0.25">
      <c r="A38" s="1">
        <f>(A$2+A$2*K38+A$2*L38)*(1+M38)</f>
        <v>567.29679999999996</v>
      </c>
      <c r="B38" s="1">
        <f>(B$2+B$2*K38+B$2*L38)*(1+M38)</f>
        <v>659.84309999999994</v>
      </c>
      <c r="C38" s="1">
        <f>(C$2+C$2*K38+C$2*L38)*(1+M38)</f>
        <v>693.49629999999991</v>
      </c>
      <c r="D38" s="1">
        <v>3</v>
      </c>
      <c r="E38" s="1">
        <v>1</v>
      </c>
      <c r="F38" s="1">
        <v>0</v>
      </c>
      <c r="G38" s="1">
        <f>SUMIFS($S$2:$S$10,$R$2:$R$10,D38)</f>
        <v>4</v>
      </c>
      <c r="H38" s="1">
        <f>SUMIFS($S$2:$S$10,$R$2:$R$10,E38)</f>
        <v>1</v>
      </c>
      <c r="I38" s="1">
        <f>SUMIFS($S$2:$S$10,$R$2:$R$10,F38)</f>
        <v>0</v>
      </c>
      <c r="J38" s="1">
        <f>SUM(G38:I38)</f>
        <v>5</v>
      </c>
      <c r="K38" s="1">
        <f>SUMIFS($U$2:$U$10,$R$2:$R$10,E38)</f>
        <v>0.01</v>
      </c>
      <c r="L38" s="1">
        <f>SUMIFS($V$2:$V$10,$R$2:$R$10,F38)</f>
        <v>0</v>
      </c>
      <c r="M38" s="1">
        <f>SUMIFS($T$2:$T$10,$R$2:$R$10,D38)</f>
        <v>0.19</v>
      </c>
    </row>
    <row r="39" spans="1:13" x14ac:dyDescent="0.25">
      <c r="A39" s="3">
        <f>(A$2+A$2*M39+A$2*L39)*(1+K39)</f>
        <v>554.69439999999997</v>
      </c>
      <c r="B39" s="3">
        <f>(B$2+B$2*M39+B$2*L39)*(1+K39)</f>
        <v>645.1848</v>
      </c>
      <c r="C39" s="3">
        <f>(C$2+C$2*M39+C$2*L39)*(1+K39)</f>
        <v>678.09039999999982</v>
      </c>
      <c r="D39" s="3">
        <v>2</v>
      </c>
      <c r="E39" s="3">
        <v>1</v>
      </c>
      <c r="F39" s="3">
        <v>2</v>
      </c>
      <c r="G39" s="3">
        <f>SUMIFS($S$2:$S$10,$R$2:$R$10,D39)</f>
        <v>2</v>
      </c>
      <c r="H39" s="3">
        <f>SUMIFS($S$2:$S$10,$R$2:$R$10,E39)</f>
        <v>1</v>
      </c>
      <c r="I39" s="3">
        <f>SUMIFS($S$2:$S$10,$R$2:$R$10,F39)</f>
        <v>2</v>
      </c>
      <c r="J39" s="3">
        <f>SUM(G39:I39)</f>
        <v>5</v>
      </c>
      <c r="K39" s="3">
        <f>SUMIFS($T$2:$T$10,$R$2:$R$10,E39)</f>
        <v>0.13</v>
      </c>
      <c r="L39" s="3">
        <f>SUMIFS($V$2:$V$10,$R$2:$R$10,F39)</f>
        <v>0.02</v>
      </c>
      <c r="M39" s="3">
        <f>SUMIFS($U$2:$U$10,$R$2:$R$10,D39)</f>
        <v>0.02</v>
      </c>
    </row>
    <row r="40" spans="1:13" x14ac:dyDescent="0.25">
      <c r="A40" s="3">
        <f>(A$2+A$2*M40+A$2*L40)*(1+K40)</f>
        <v>563.94560000000001</v>
      </c>
      <c r="B40" s="3">
        <f>(B$2+B$2*M40+B$2*L40)*(1+K40)</f>
        <v>655.9452</v>
      </c>
      <c r="C40" s="3">
        <f>(C$2+C$2*M40+C$2*L40)*(1+K40)</f>
        <v>689.39959999999985</v>
      </c>
      <c r="D40" s="3">
        <v>2</v>
      </c>
      <c r="E40" s="3">
        <v>2</v>
      </c>
      <c r="F40" s="3">
        <v>1</v>
      </c>
      <c r="G40" s="3">
        <f>SUMIFS($S$2:$S$10,$R$2:$R$10,D40)</f>
        <v>2</v>
      </c>
      <c r="H40" s="3">
        <f>SUMIFS($S$2:$S$10,$R$2:$R$10,E40)</f>
        <v>2</v>
      </c>
      <c r="I40" s="3">
        <f>SUMIFS($S$2:$S$10,$R$2:$R$10,F40)</f>
        <v>1</v>
      </c>
      <c r="J40" s="3">
        <f>SUM(G40:I40)</f>
        <v>5</v>
      </c>
      <c r="K40" s="3">
        <f>SUMIFS($T$2:$T$10,$R$2:$R$10,E40)</f>
        <v>0.16</v>
      </c>
      <c r="L40" s="3">
        <f>SUMIFS($V$2:$V$10,$R$2:$R$10,F40)</f>
        <v>0.01</v>
      </c>
      <c r="M40" s="3">
        <f>SUMIFS($U$2:$U$10,$R$2:$R$10,D40)</f>
        <v>0.02</v>
      </c>
    </row>
    <row r="41" spans="1:13" x14ac:dyDescent="0.25">
      <c r="A41" s="3">
        <f>(A$2+A$2*M41+A$2*L41)*(1+K41)</f>
        <v>490.88000000000005</v>
      </c>
      <c r="B41" s="3">
        <f>(B$2+B$2*M41+B$2*L41)*(1+K41)</f>
        <v>570.96</v>
      </c>
      <c r="C41" s="3">
        <f>(C$2+C$2*M41+C$2*L41)*(1+K41)</f>
        <v>600.07999999999993</v>
      </c>
      <c r="D41" s="3">
        <v>3</v>
      </c>
      <c r="E41" s="3">
        <v>0</v>
      </c>
      <c r="F41" s="3">
        <v>1</v>
      </c>
      <c r="G41" s="3">
        <f>SUMIFS($S$2:$S$10,$R$2:$R$10,D41)</f>
        <v>4</v>
      </c>
      <c r="H41" s="3">
        <f>SUMIFS($S$2:$S$10,$R$2:$R$10,E41)</f>
        <v>0</v>
      </c>
      <c r="I41" s="3">
        <f>SUMIFS($S$2:$S$10,$R$2:$R$10,F41)</f>
        <v>1</v>
      </c>
      <c r="J41" s="3">
        <f>SUM(G41:I41)</f>
        <v>5</v>
      </c>
      <c r="K41" s="3">
        <f>SUMIFS($T$2:$T$10,$R$2:$R$10,E41)</f>
        <v>0</v>
      </c>
      <c r="L41" s="3">
        <f>SUMIFS($V$2:$V$10,$R$2:$R$10,F41)</f>
        <v>0.01</v>
      </c>
      <c r="M41" s="3">
        <f>SUMIFS($U$2:$U$10,$R$2:$R$10,D41)</f>
        <v>0.03</v>
      </c>
    </row>
    <row r="42" spans="1:13" x14ac:dyDescent="0.25">
      <c r="A42" s="3">
        <f>(A$2+A$2*M42+A$2*L42)*(1+K42)</f>
        <v>549.36079999999993</v>
      </c>
      <c r="B42" s="3">
        <f>(B$2+B$2*M42+B$2*L42)*(1+K42)</f>
        <v>638.98109999999997</v>
      </c>
      <c r="C42" s="3">
        <f>(C$2+C$2*M42+C$2*L42)*(1+K42)</f>
        <v>671.57029999999986</v>
      </c>
      <c r="D42" s="3">
        <v>3</v>
      </c>
      <c r="E42" s="3">
        <v>1</v>
      </c>
      <c r="F42" s="3">
        <v>0</v>
      </c>
      <c r="G42" s="3">
        <f>SUMIFS($S$2:$S$10,$R$2:$R$10,D42)</f>
        <v>4</v>
      </c>
      <c r="H42" s="3">
        <f>SUMIFS($S$2:$S$10,$R$2:$R$10,E42)</f>
        <v>1</v>
      </c>
      <c r="I42" s="3">
        <f>SUMIFS($S$2:$S$10,$R$2:$R$10,F42)</f>
        <v>0</v>
      </c>
      <c r="J42" s="3">
        <f>SUM(G42:I42)</f>
        <v>5</v>
      </c>
      <c r="K42" s="3">
        <f>SUMIFS($T$2:$T$10,$R$2:$R$10,E42)</f>
        <v>0.13</v>
      </c>
      <c r="L42" s="3">
        <f>SUMIFS($V$2:$V$10,$R$2:$R$10,F42)</f>
        <v>0</v>
      </c>
      <c r="M42" s="3">
        <f>SUMIFS($U$2:$U$10,$R$2:$R$10,D42)</f>
        <v>0.03</v>
      </c>
    </row>
    <row r="43" spans="1:13" x14ac:dyDescent="0.25">
      <c r="A43" s="2">
        <f>(A$2+A$2*K43+A$2*M43)*(1+L43)</f>
        <v>563.94560000000001</v>
      </c>
      <c r="B43" s="2">
        <f>(B$2+B$2*K43+B$2*M43)*(1+L43)</f>
        <v>655.9452</v>
      </c>
      <c r="C43" s="2">
        <f>(C$2+C$2*K43+C$2*M43)*(1+L43)</f>
        <v>689.39959999999985</v>
      </c>
      <c r="D43" s="2">
        <v>2</v>
      </c>
      <c r="E43" s="2">
        <v>1</v>
      </c>
      <c r="F43" s="2">
        <v>2</v>
      </c>
      <c r="G43" s="2">
        <f>SUMIFS($S$2:$S$10,$R$2:$R$10,D43)</f>
        <v>2</v>
      </c>
      <c r="H43" s="2">
        <f>SUMIFS($S$2:$S$10,$R$2:$R$10,E43)</f>
        <v>1</v>
      </c>
      <c r="I43" s="2">
        <f>SUMIFS($S$2:$S$10,$R$2:$R$10,F43)</f>
        <v>2</v>
      </c>
      <c r="J43" s="2">
        <f>SUM(G43:I43)</f>
        <v>5</v>
      </c>
      <c r="K43" s="2">
        <f>SUMIFS($U$2:$U$10,$R$2:$R$10,E43)</f>
        <v>0.01</v>
      </c>
      <c r="L43" s="2">
        <f>SUMIFS($T$2:$T$10,$R$2:$R$10,F43)</f>
        <v>0.16</v>
      </c>
      <c r="M43" s="2">
        <f>SUMIFS($V$2:$V$10,$R$2:$R$10,D43)</f>
        <v>0.02</v>
      </c>
    </row>
    <row r="44" spans="1:13" x14ac:dyDescent="0.25">
      <c r="A44" s="2">
        <f>(A$2+A$2*K44+A$2*M44)*(1+L44)</f>
        <v>554.69439999999997</v>
      </c>
      <c r="B44" s="2">
        <f>(B$2+B$2*K44+B$2*M44)*(1+L44)</f>
        <v>645.1848</v>
      </c>
      <c r="C44" s="2">
        <f>(C$2+C$2*K44+C$2*M44)*(1+L44)</f>
        <v>678.09039999999982</v>
      </c>
      <c r="D44" s="2">
        <v>2</v>
      </c>
      <c r="E44" s="2">
        <v>2</v>
      </c>
      <c r="F44" s="2">
        <v>1</v>
      </c>
      <c r="G44" s="2">
        <f>SUMIFS($S$2:$S$10,$R$2:$R$10,D44)</f>
        <v>2</v>
      </c>
      <c r="H44" s="2">
        <f>SUMIFS($S$2:$S$10,$R$2:$R$10,E44)</f>
        <v>2</v>
      </c>
      <c r="I44" s="2">
        <f>SUMIFS($S$2:$S$10,$R$2:$R$10,F44)</f>
        <v>1</v>
      </c>
      <c r="J44" s="2">
        <f>SUM(G44:I44)</f>
        <v>5</v>
      </c>
      <c r="K44" s="2">
        <f>SUMIFS($U$2:$U$10,$R$2:$R$10,E44)</f>
        <v>0.02</v>
      </c>
      <c r="L44" s="2">
        <f>SUMIFS($T$2:$T$10,$R$2:$R$10,F44)</f>
        <v>0.13</v>
      </c>
      <c r="M44" s="2">
        <f>SUMIFS($V$2:$V$10,$R$2:$R$10,D44)</f>
        <v>0.02</v>
      </c>
    </row>
    <row r="45" spans="1:13" x14ac:dyDescent="0.25">
      <c r="A45" s="2">
        <f>(A$2+A$2*K45+A$2*M45)*(1+L45)</f>
        <v>549.36079999999993</v>
      </c>
      <c r="B45" s="2">
        <f>(B$2+B$2*K45+B$2*M45)*(1+L45)</f>
        <v>638.98109999999997</v>
      </c>
      <c r="C45" s="2">
        <f>(C$2+C$2*K45+C$2*M45)*(1+L45)</f>
        <v>671.57029999999986</v>
      </c>
      <c r="D45" s="2">
        <v>3</v>
      </c>
      <c r="E45" s="2">
        <v>0</v>
      </c>
      <c r="F45" s="2">
        <v>1</v>
      </c>
      <c r="G45" s="2">
        <f>SUMIFS($S$2:$S$10,$R$2:$R$10,D45)</f>
        <v>4</v>
      </c>
      <c r="H45" s="2">
        <f>SUMIFS($S$2:$S$10,$R$2:$R$10,E45)</f>
        <v>0</v>
      </c>
      <c r="I45" s="2">
        <f>SUMIFS($S$2:$S$10,$R$2:$R$10,F45)</f>
        <v>1</v>
      </c>
      <c r="J45" s="2">
        <f>SUM(G45:I45)</f>
        <v>5</v>
      </c>
      <c r="K45" s="2">
        <f>SUMIFS($U$2:$U$10,$R$2:$R$10,E45)</f>
        <v>0</v>
      </c>
      <c r="L45" s="2">
        <f>SUMIFS($T$2:$T$10,$R$2:$R$10,F45)</f>
        <v>0.13</v>
      </c>
      <c r="M45" s="2">
        <f>SUMIFS($V$2:$V$10,$R$2:$R$10,D45)</f>
        <v>0.03</v>
      </c>
    </row>
    <row r="46" spans="1:13" x14ac:dyDescent="0.25">
      <c r="A46" s="2">
        <f>(A$2+A$2*K46+A$2*M46)*(1+L46)</f>
        <v>490.88000000000005</v>
      </c>
      <c r="B46" s="2">
        <f>(B$2+B$2*K46+B$2*M46)*(1+L46)</f>
        <v>570.96</v>
      </c>
      <c r="C46" s="2">
        <f>(C$2+C$2*K46+C$2*M46)*(1+L46)</f>
        <v>600.07999999999993</v>
      </c>
      <c r="D46" s="2">
        <v>3</v>
      </c>
      <c r="E46" s="2">
        <v>1</v>
      </c>
      <c r="F46" s="2">
        <v>0</v>
      </c>
      <c r="G46" s="2">
        <f>SUMIFS($S$2:$S$10,$R$2:$R$10,D46)</f>
        <v>4</v>
      </c>
      <c r="H46" s="2">
        <f>SUMIFS($S$2:$S$10,$R$2:$R$10,E46)</f>
        <v>1</v>
      </c>
      <c r="I46" s="2">
        <f>SUMIFS($S$2:$S$10,$R$2:$R$10,F46)</f>
        <v>0</v>
      </c>
      <c r="J46" s="2">
        <f>SUM(G46:I46)</f>
        <v>5</v>
      </c>
      <c r="K46" s="2">
        <f>SUMIFS($U$2:$U$10,$R$2:$R$10,E46)</f>
        <v>0.01</v>
      </c>
      <c r="L46" s="2">
        <f>SUMIFS($T$2:$T$10,$R$2:$R$10,F46)</f>
        <v>0</v>
      </c>
      <c r="M46" s="2">
        <f>SUMIFS($V$2:$V$10,$R$2:$R$10,D46)</f>
        <v>0.03</v>
      </c>
    </row>
    <row r="47" spans="1:13" x14ac:dyDescent="0.25">
      <c r="A47" s="1">
        <f>(A$2+A$2*K47+A$2*L47)*(1+M47)</f>
        <v>569.42079999999999</v>
      </c>
      <c r="B47" s="1">
        <f>(B$2+B$2*K47+B$2*L47)*(1+M47)</f>
        <v>662.31359999999995</v>
      </c>
      <c r="C47" s="1">
        <f>(C$2+C$2*K47+C$2*L47)*(1+M47)</f>
        <v>696.0927999999999</v>
      </c>
      <c r="D47" s="1">
        <v>2</v>
      </c>
      <c r="E47" s="1">
        <v>2</v>
      </c>
      <c r="F47" s="1">
        <v>2</v>
      </c>
      <c r="G47" s="1">
        <f>SUMIFS($S$2:$S$10,$R$2:$R$10,D47)</f>
        <v>2</v>
      </c>
      <c r="H47" s="1">
        <f>SUMIFS($S$2:$S$10,$R$2:$R$10,E47)</f>
        <v>2</v>
      </c>
      <c r="I47" s="1">
        <f>SUMIFS($S$2:$S$10,$R$2:$R$10,F47)</f>
        <v>2</v>
      </c>
      <c r="J47" s="1">
        <f>SUM(G47:I47)</f>
        <v>6</v>
      </c>
      <c r="K47" s="1">
        <f>SUMIFS($U$2:$U$10,$R$2:$R$10,E47)</f>
        <v>0.02</v>
      </c>
      <c r="L47" s="1">
        <f>SUMIFS($V$2:$V$10,$R$2:$R$10,F47)</f>
        <v>0.02</v>
      </c>
      <c r="M47" s="1">
        <f>SUMIFS($T$2:$T$10,$R$2:$R$10,D47)</f>
        <v>0.16</v>
      </c>
    </row>
    <row r="48" spans="1:13" x14ac:dyDescent="0.25">
      <c r="A48" s="1">
        <f>(A$2+A$2*K48+A$2*L48)*(1+M48)</f>
        <v>572.91359999999997</v>
      </c>
      <c r="B48" s="1">
        <f>(B$2+B$2*K48+B$2*L48)*(1+M48)</f>
        <v>666.37620000000004</v>
      </c>
      <c r="C48" s="1">
        <f>(C$2+C$2*K48+C$2*L48)*(1+M48)</f>
        <v>700.36259999999993</v>
      </c>
      <c r="D48" s="1">
        <v>3</v>
      </c>
      <c r="E48" s="1">
        <v>0</v>
      </c>
      <c r="F48" s="1">
        <v>2</v>
      </c>
      <c r="G48" s="1">
        <f>SUMIFS($S$2:$S$10,$R$2:$R$10,D48)</f>
        <v>4</v>
      </c>
      <c r="H48" s="1">
        <f>SUMIFS($S$2:$S$10,$R$2:$R$10,E48)</f>
        <v>0</v>
      </c>
      <c r="I48" s="1">
        <f>SUMIFS($S$2:$S$10,$R$2:$R$10,F48)</f>
        <v>2</v>
      </c>
      <c r="J48" s="1">
        <f>SUM(G48:I48)</f>
        <v>6</v>
      </c>
      <c r="K48" s="1">
        <f>SUMIFS($U$2:$U$10,$R$2:$R$10,E48)</f>
        <v>0</v>
      </c>
      <c r="L48" s="1">
        <f>SUMIFS($V$2:$V$10,$R$2:$R$10,F48)</f>
        <v>0.02</v>
      </c>
      <c r="M48" s="1">
        <f>SUMIFS($T$2:$T$10,$R$2:$R$10,D48)</f>
        <v>0.19</v>
      </c>
    </row>
    <row r="49" spans="1:13" x14ac:dyDescent="0.25">
      <c r="A49" s="1">
        <f>(A$2+A$2*K49+A$2*L49)*(1+M49)</f>
        <v>572.91360000000009</v>
      </c>
      <c r="B49" s="1">
        <f>(B$2+B$2*K49+B$2*L49)*(1+M49)</f>
        <v>666.37620000000004</v>
      </c>
      <c r="C49" s="1">
        <f>(C$2+C$2*K49+C$2*L49)*(1+M49)</f>
        <v>700.36259999999993</v>
      </c>
      <c r="D49" s="1">
        <v>3</v>
      </c>
      <c r="E49" s="1">
        <v>1</v>
      </c>
      <c r="F49" s="1">
        <v>1</v>
      </c>
      <c r="G49" s="1">
        <f>SUMIFS($S$2:$S$10,$R$2:$R$10,D49)</f>
        <v>4</v>
      </c>
      <c r="H49" s="1">
        <f>SUMIFS($S$2:$S$10,$R$2:$R$10,E49)</f>
        <v>1</v>
      </c>
      <c r="I49" s="1">
        <f>SUMIFS($S$2:$S$10,$R$2:$R$10,F49)</f>
        <v>1</v>
      </c>
      <c r="J49" s="1">
        <f>SUM(G49:I49)</f>
        <v>6</v>
      </c>
      <c r="K49" s="1">
        <f>SUMIFS($U$2:$U$10,$R$2:$R$10,E49)</f>
        <v>0.01</v>
      </c>
      <c r="L49" s="1">
        <f>SUMIFS($V$2:$V$10,$R$2:$R$10,F49)</f>
        <v>0.01</v>
      </c>
      <c r="M49" s="1">
        <f>SUMIFS($T$2:$T$10,$R$2:$R$10,D49)</f>
        <v>0.19</v>
      </c>
    </row>
    <row r="50" spans="1:13" x14ac:dyDescent="0.25">
      <c r="A50" s="1">
        <f>(A$2+A$2*K50+A$2*L50)*(1+M50)</f>
        <v>572.91359999999997</v>
      </c>
      <c r="B50" s="1">
        <f>(B$2+B$2*K50+B$2*L50)*(1+M50)</f>
        <v>666.37620000000004</v>
      </c>
      <c r="C50" s="1">
        <f>(C$2+C$2*K50+C$2*L50)*(1+M50)</f>
        <v>700.36259999999993</v>
      </c>
      <c r="D50" s="1">
        <v>3</v>
      </c>
      <c r="E50" s="1">
        <v>2</v>
      </c>
      <c r="F50" s="1">
        <v>0</v>
      </c>
      <c r="G50" s="1">
        <f>SUMIFS($S$2:$S$10,$R$2:$R$10,D50)</f>
        <v>4</v>
      </c>
      <c r="H50" s="1">
        <f>SUMIFS($S$2:$S$10,$R$2:$R$10,E50)</f>
        <v>2</v>
      </c>
      <c r="I50" s="1">
        <f>SUMIFS($S$2:$S$10,$R$2:$R$10,F50)</f>
        <v>0</v>
      </c>
      <c r="J50" s="1">
        <f>SUM(G50:I50)</f>
        <v>6</v>
      </c>
      <c r="K50" s="1">
        <f>SUMIFS($U$2:$U$10,$R$2:$R$10,E50)</f>
        <v>0.02</v>
      </c>
      <c r="L50" s="1">
        <f>SUMIFS($V$2:$V$10,$R$2:$R$10,F50)</f>
        <v>0</v>
      </c>
      <c r="M50" s="1">
        <f>SUMIFS($T$2:$T$10,$R$2:$R$10,D50)</f>
        <v>0.19</v>
      </c>
    </row>
    <row r="51" spans="1:13" x14ac:dyDescent="0.25">
      <c r="A51" s="3">
        <f>(A$2+A$2*M51+A$2*L51)*(1+K51)</f>
        <v>569.42079999999999</v>
      </c>
      <c r="B51" s="3">
        <f>(B$2+B$2*M51+B$2*L51)*(1+K51)</f>
        <v>662.31359999999995</v>
      </c>
      <c r="C51" s="3">
        <f>(C$2+C$2*M51+C$2*L51)*(1+K51)</f>
        <v>696.0927999999999</v>
      </c>
      <c r="D51" s="3">
        <v>2</v>
      </c>
      <c r="E51" s="3">
        <v>2</v>
      </c>
      <c r="F51" s="3">
        <v>2</v>
      </c>
      <c r="G51" s="3">
        <f>SUMIFS($S$2:$S$10,$R$2:$R$10,D51)</f>
        <v>2</v>
      </c>
      <c r="H51" s="3">
        <f>SUMIFS($S$2:$S$10,$R$2:$R$10,E51)</f>
        <v>2</v>
      </c>
      <c r="I51" s="3">
        <f>SUMIFS($S$2:$S$10,$R$2:$R$10,F51)</f>
        <v>2</v>
      </c>
      <c r="J51" s="3">
        <f>SUM(G51:I51)</f>
        <v>6</v>
      </c>
      <c r="K51" s="3">
        <f>SUMIFS($T$2:$T$10,$R$2:$R$10,E51)</f>
        <v>0.16</v>
      </c>
      <c r="L51" s="3">
        <f>SUMIFS($V$2:$V$10,$R$2:$R$10,F51)</f>
        <v>0.02</v>
      </c>
      <c r="M51" s="3">
        <f>SUMIFS($U$2:$U$10,$R$2:$R$10,D51)</f>
        <v>0.02</v>
      </c>
    </row>
    <row r="52" spans="1:13" x14ac:dyDescent="0.25">
      <c r="A52" s="3">
        <f>(A$2+A$2*M52+A$2*L52)*(1+K52)</f>
        <v>495.6</v>
      </c>
      <c r="B52" s="3">
        <f>(B$2+B$2*M52+B$2*L52)*(1+K52)</f>
        <v>576.45000000000005</v>
      </c>
      <c r="C52" s="3">
        <f>(C$2+C$2*M52+C$2*L52)*(1+K52)</f>
        <v>605.84999999999991</v>
      </c>
      <c r="D52" s="3">
        <v>3</v>
      </c>
      <c r="E52" s="3">
        <v>0</v>
      </c>
      <c r="F52" s="3">
        <v>2</v>
      </c>
      <c r="G52" s="3">
        <f>SUMIFS($S$2:$S$10,$R$2:$R$10,D52)</f>
        <v>4</v>
      </c>
      <c r="H52" s="3">
        <f>SUMIFS($S$2:$S$10,$R$2:$R$10,E52)</f>
        <v>0</v>
      </c>
      <c r="I52" s="3">
        <f>SUMIFS($S$2:$S$10,$R$2:$R$10,F52)</f>
        <v>2</v>
      </c>
      <c r="J52" s="3">
        <f>SUM(G52:I52)</f>
        <v>6</v>
      </c>
      <c r="K52" s="3">
        <f>SUMIFS($T$2:$T$10,$R$2:$R$10,E52)</f>
        <v>0</v>
      </c>
      <c r="L52" s="3">
        <f>SUMIFS($V$2:$V$10,$R$2:$R$10,F52)</f>
        <v>0.02</v>
      </c>
      <c r="M52" s="3">
        <f>SUMIFS($U$2:$U$10,$R$2:$R$10,D52)</f>
        <v>0.03</v>
      </c>
    </row>
    <row r="53" spans="1:13" x14ac:dyDescent="0.25">
      <c r="A53" s="3">
        <f>(A$2+A$2*M53+A$2*L53)*(1+K53)</f>
        <v>554.69439999999997</v>
      </c>
      <c r="B53" s="3">
        <f>(B$2+B$2*M53+B$2*L53)*(1+K53)</f>
        <v>645.1848</v>
      </c>
      <c r="C53" s="3">
        <f>(C$2+C$2*M53+C$2*L53)*(1+K53)</f>
        <v>678.09039999999982</v>
      </c>
      <c r="D53" s="3">
        <v>3</v>
      </c>
      <c r="E53" s="3">
        <v>1</v>
      </c>
      <c r="F53" s="3">
        <v>1</v>
      </c>
      <c r="G53" s="3">
        <f>SUMIFS($S$2:$S$10,$R$2:$R$10,D53)</f>
        <v>4</v>
      </c>
      <c r="H53" s="3">
        <f>SUMIFS($S$2:$S$10,$R$2:$R$10,E53)</f>
        <v>1</v>
      </c>
      <c r="I53" s="3">
        <f>SUMIFS($S$2:$S$10,$R$2:$R$10,F53)</f>
        <v>1</v>
      </c>
      <c r="J53" s="3">
        <f>SUM(G53:I53)</f>
        <v>6</v>
      </c>
      <c r="K53" s="3">
        <f>SUMIFS($T$2:$T$10,$R$2:$R$10,E53)</f>
        <v>0.13</v>
      </c>
      <c r="L53" s="3">
        <f>SUMIFS($V$2:$V$10,$R$2:$R$10,F53)</f>
        <v>0.01</v>
      </c>
      <c r="M53" s="3">
        <f>SUMIFS($U$2:$U$10,$R$2:$R$10,D53)</f>
        <v>0.03</v>
      </c>
    </row>
    <row r="54" spans="1:13" x14ac:dyDescent="0.25">
      <c r="A54" s="3">
        <f>(A$2+A$2*M54+A$2*L54)*(1+K54)</f>
        <v>563.94560000000001</v>
      </c>
      <c r="B54" s="3">
        <f>(B$2+B$2*M54+B$2*L54)*(1+K54)</f>
        <v>655.9452</v>
      </c>
      <c r="C54" s="3">
        <f>(C$2+C$2*M54+C$2*L54)*(1+K54)</f>
        <v>689.39959999999985</v>
      </c>
      <c r="D54" s="3">
        <v>3</v>
      </c>
      <c r="E54" s="3">
        <v>2</v>
      </c>
      <c r="F54" s="3">
        <v>0</v>
      </c>
      <c r="G54" s="3">
        <f>SUMIFS($S$2:$S$10,$R$2:$R$10,D54)</f>
        <v>4</v>
      </c>
      <c r="H54" s="3">
        <f>SUMIFS($S$2:$S$10,$R$2:$R$10,E54)</f>
        <v>2</v>
      </c>
      <c r="I54" s="3">
        <f>SUMIFS($S$2:$S$10,$R$2:$R$10,F54)</f>
        <v>0</v>
      </c>
      <c r="J54" s="3">
        <f>SUM(G54:I54)</f>
        <v>6</v>
      </c>
      <c r="K54" s="3">
        <f>SUMIFS($T$2:$T$10,$R$2:$R$10,E54)</f>
        <v>0.16</v>
      </c>
      <c r="L54" s="3">
        <f>SUMIFS($V$2:$V$10,$R$2:$R$10,F54)</f>
        <v>0</v>
      </c>
      <c r="M54" s="3">
        <f>SUMIFS($U$2:$U$10,$R$2:$R$10,D54)</f>
        <v>0.03</v>
      </c>
    </row>
    <row r="55" spans="1:13" x14ac:dyDescent="0.25">
      <c r="A55" s="2">
        <f>(A$2+A$2*K55+A$2*M55)*(1+L55)</f>
        <v>569.42079999999999</v>
      </c>
      <c r="B55" s="2">
        <f>(B$2+B$2*K55+B$2*M55)*(1+L55)</f>
        <v>662.31359999999995</v>
      </c>
      <c r="C55" s="2">
        <f>(C$2+C$2*K55+C$2*M55)*(1+L55)</f>
        <v>696.0927999999999</v>
      </c>
      <c r="D55" s="2">
        <v>2</v>
      </c>
      <c r="E55" s="2">
        <v>2</v>
      </c>
      <c r="F55" s="2">
        <v>2</v>
      </c>
      <c r="G55" s="2">
        <f>SUMIFS($S$2:$S$10,$R$2:$R$10,D55)</f>
        <v>2</v>
      </c>
      <c r="H55" s="2">
        <f>SUMIFS($S$2:$S$10,$R$2:$R$10,E55)</f>
        <v>2</v>
      </c>
      <c r="I55" s="2">
        <f>SUMIFS($S$2:$S$10,$R$2:$R$10,F55)</f>
        <v>2</v>
      </c>
      <c r="J55" s="2">
        <f>SUM(G55:I55)</f>
        <v>6</v>
      </c>
      <c r="K55" s="2">
        <f>SUMIFS($U$2:$U$10,$R$2:$R$10,E55)</f>
        <v>0.02</v>
      </c>
      <c r="L55" s="2">
        <f>SUMIFS($T$2:$T$10,$R$2:$R$10,F55)</f>
        <v>0.16</v>
      </c>
      <c r="M55" s="2">
        <f>SUMIFS($V$2:$V$10,$R$2:$R$10,D55)</f>
        <v>0.02</v>
      </c>
    </row>
    <row r="56" spans="1:13" x14ac:dyDescent="0.25">
      <c r="A56" s="2">
        <f>(A$2+A$2*K56+A$2*M56)*(1+L56)</f>
        <v>563.94560000000001</v>
      </c>
      <c r="B56" s="2">
        <f>(B$2+B$2*K56+B$2*M56)*(1+L56)</f>
        <v>655.9452</v>
      </c>
      <c r="C56" s="2">
        <f>(C$2+C$2*K56+C$2*M56)*(1+L56)</f>
        <v>689.39959999999985</v>
      </c>
      <c r="D56" s="2">
        <v>3</v>
      </c>
      <c r="E56" s="2">
        <v>0</v>
      </c>
      <c r="F56" s="2">
        <v>2</v>
      </c>
      <c r="G56" s="2">
        <f>SUMIFS($S$2:$S$10,$R$2:$R$10,D56)</f>
        <v>4</v>
      </c>
      <c r="H56" s="2">
        <f>SUMIFS($S$2:$S$10,$R$2:$R$10,E56)</f>
        <v>0</v>
      </c>
      <c r="I56" s="2">
        <f>SUMIFS($S$2:$S$10,$R$2:$R$10,F56)</f>
        <v>2</v>
      </c>
      <c r="J56" s="2">
        <f>SUM(G56:I56)</f>
        <v>6</v>
      </c>
      <c r="K56" s="2">
        <f>SUMIFS($U$2:$U$10,$R$2:$R$10,E56)</f>
        <v>0</v>
      </c>
      <c r="L56" s="2">
        <f>SUMIFS($T$2:$T$10,$R$2:$R$10,F56)</f>
        <v>0.16</v>
      </c>
      <c r="M56" s="2">
        <f>SUMIFS($V$2:$V$10,$R$2:$R$10,D56)</f>
        <v>0.03</v>
      </c>
    </row>
    <row r="57" spans="1:13" x14ac:dyDescent="0.25">
      <c r="A57" s="2">
        <f>(A$2+A$2*K57+A$2*M57)*(1+L57)</f>
        <v>554.69439999999997</v>
      </c>
      <c r="B57" s="2">
        <f>(B$2+B$2*K57+B$2*M57)*(1+L57)</f>
        <v>645.1848</v>
      </c>
      <c r="C57" s="2">
        <f>(C$2+C$2*K57+C$2*M57)*(1+L57)</f>
        <v>678.09039999999982</v>
      </c>
      <c r="D57" s="2">
        <v>3</v>
      </c>
      <c r="E57" s="2">
        <v>1</v>
      </c>
      <c r="F57" s="2">
        <v>1</v>
      </c>
      <c r="G57" s="2">
        <f>SUMIFS($S$2:$S$10,$R$2:$R$10,D57)</f>
        <v>4</v>
      </c>
      <c r="H57" s="2">
        <f>SUMIFS($S$2:$S$10,$R$2:$R$10,E57)</f>
        <v>1</v>
      </c>
      <c r="I57" s="2">
        <f>SUMIFS($S$2:$S$10,$R$2:$R$10,F57)</f>
        <v>1</v>
      </c>
      <c r="J57" s="2">
        <f>SUM(G57:I57)</f>
        <v>6</v>
      </c>
      <c r="K57" s="2">
        <f>SUMIFS($U$2:$U$10,$R$2:$R$10,E57)</f>
        <v>0.01</v>
      </c>
      <c r="L57" s="2">
        <f>SUMIFS($T$2:$T$10,$R$2:$R$10,F57)</f>
        <v>0.13</v>
      </c>
      <c r="M57" s="2">
        <f>SUMIFS($V$2:$V$10,$R$2:$R$10,D57)</f>
        <v>0.03</v>
      </c>
    </row>
    <row r="58" spans="1:13" x14ac:dyDescent="0.25">
      <c r="A58" s="2">
        <f>(A$2+A$2*K58+A$2*M58)*(1+L58)</f>
        <v>495.6</v>
      </c>
      <c r="B58" s="2">
        <f>(B$2+B$2*K58+B$2*M58)*(1+L58)</f>
        <v>576.45000000000005</v>
      </c>
      <c r="C58" s="2">
        <f>(C$2+C$2*K58+C$2*M58)*(1+L58)</f>
        <v>605.84999999999991</v>
      </c>
      <c r="D58" s="2">
        <v>3</v>
      </c>
      <c r="E58" s="2">
        <v>2</v>
      </c>
      <c r="F58" s="2">
        <v>0</v>
      </c>
      <c r="G58" s="2">
        <f>SUMIFS($S$2:$S$10,$R$2:$R$10,D58)</f>
        <v>4</v>
      </c>
      <c r="H58" s="2">
        <f>SUMIFS($S$2:$S$10,$R$2:$R$10,E58)</f>
        <v>2</v>
      </c>
      <c r="I58" s="2">
        <f>SUMIFS($S$2:$S$10,$R$2:$R$10,F58)</f>
        <v>0</v>
      </c>
      <c r="J58" s="2">
        <f>SUM(G58:I58)</f>
        <v>6</v>
      </c>
      <c r="K58" s="2">
        <f>SUMIFS($U$2:$U$10,$R$2:$R$10,E58)</f>
        <v>0.02</v>
      </c>
      <c r="L58" s="2">
        <f>SUMIFS($T$2:$T$10,$R$2:$R$10,F58)</f>
        <v>0</v>
      </c>
      <c r="M58" s="2">
        <f>SUMIFS($V$2:$V$10,$R$2:$R$10,D58)</f>
        <v>0.03</v>
      </c>
    </row>
    <row r="59" spans="1:13" x14ac:dyDescent="0.25">
      <c r="A59" s="1">
        <f>(A$2+A$2*K59+A$2*L59)*(1+M59)</f>
        <v>578.53039999999999</v>
      </c>
      <c r="B59" s="1">
        <f>(B$2+B$2*K59+B$2*L59)*(1+M59)</f>
        <v>672.90930000000003</v>
      </c>
      <c r="C59" s="1">
        <f>(C$2+C$2*K59+C$2*L59)*(1+M59)</f>
        <v>707.22889999999995</v>
      </c>
      <c r="D59" s="1">
        <v>3</v>
      </c>
      <c r="E59" s="1">
        <v>1</v>
      </c>
      <c r="F59" s="1">
        <v>2</v>
      </c>
      <c r="G59" s="1">
        <f>SUMIFS($S$2:$S$10,$R$2:$R$10,D59)</f>
        <v>4</v>
      </c>
      <c r="H59" s="1">
        <f>SUMIFS($S$2:$S$10,$R$2:$R$10,E59)</f>
        <v>1</v>
      </c>
      <c r="I59" s="1">
        <f>SUMIFS($S$2:$S$10,$R$2:$R$10,F59)</f>
        <v>2</v>
      </c>
      <c r="J59" s="1">
        <f>SUM(G59:I59)</f>
        <v>7</v>
      </c>
      <c r="K59" s="1">
        <f>SUMIFS($U$2:$U$10,$R$2:$R$10,E59)</f>
        <v>0.01</v>
      </c>
      <c r="L59" s="1">
        <f>SUMIFS($V$2:$V$10,$R$2:$R$10,F59)</f>
        <v>0.02</v>
      </c>
      <c r="M59" s="1">
        <f>SUMIFS($T$2:$T$10,$R$2:$R$10,D59)</f>
        <v>0.19</v>
      </c>
    </row>
    <row r="60" spans="1:13" x14ac:dyDescent="0.25">
      <c r="A60" s="1">
        <f>(A$2+A$2*K60+A$2*L60)*(1+M60)</f>
        <v>578.53039999999999</v>
      </c>
      <c r="B60" s="1">
        <f>(B$2+B$2*K60+B$2*L60)*(1+M60)</f>
        <v>672.90930000000003</v>
      </c>
      <c r="C60" s="1">
        <f>(C$2+C$2*K60+C$2*L60)*(1+M60)</f>
        <v>707.22889999999995</v>
      </c>
      <c r="D60" s="1">
        <v>3</v>
      </c>
      <c r="E60" s="1">
        <v>2</v>
      </c>
      <c r="F60" s="1">
        <v>1</v>
      </c>
      <c r="G60" s="1">
        <f>SUMIFS($S$2:$S$10,$R$2:$R$10,D60)</f>
        <v>4</v>
      </c>
      <c r="H60" s="1">
        <f>SUMIFS($S$2:$S$10,$R$2:$R$10,E60)</f>
        <v>2</v>
      </c>
      <c r="I60" s="1">
        <f>SUMIFS($S$2:$S$10,$R$2:$R$10,F60)</f>
        <v>1</v>
      </c>
      <c r="J60" s="1">
        <f>SUM(G60:I60)</f>
        <v>7</v>
      </c>
      <c r="K60" s="1">
        <f>SUMIFS($U$2:$U$10,$R$2:$R$10,E60)</f>
        <v>0.02</v>
      </c>
      <c r="L60" s="1">
        <f>SUMIFS($V$2:$V$10,$R$2:$R$10,F60)</f>
        <v>0.01</v>
      </c>
      <c r="M60" s="1">
        <f>SUMIFS($T$2:$T$10,$R$2:$R$10,D60)</f>
        <v>0.19</v>
      </c>
    </row>
    <row r="61" spans="1:13" x14ac:dyDescent="0.25">
      <c r="A61" s="1">
        <f>(A$2+A$2*K61+A$2*L61)*(1+M61)</f>
        <v>575.84</v>
      </c>
      <c r="B61" s="1">
        <f>(B$2+B$2*K61+B$2*L61)*(1+M61)</f>
        <v>669.78</v>
      </c>
      <c r="C61" s="1">
        <f>(C$2+C$2*K61+C$2*L61)*(1+M61)</f>
        <v>703.93999999999994</v>
      </c>
      <c r="D61" s="1">
        <v>4</v>
      </c>
      <c r="E61" s="1">
        <v>0</v>
      </c>
      <c r="F61" s="1">
        <v>0</v>
      </c>
      <c r="G61" s="1">
        <f>SUMIFS($S$2:$S$10,$R$2:$R$10,D61)</f>
        <v>7</v>
      </c>
      <c r="H61" s="1">
        <f>SUMIFS($S$2:$S$10,$R$2:$R$10,E61)</f>
        <v>0</v>
      </c>
      <c r="I61" s="1">
        <f>SUMIFS($S$2:$S$10,$R$2:$R$10,F61)</f>
        <v>0</v>
      </c>
      <c r="J61" s="1">
        <f>SUM(G61:I61)</f>
        <v>7</v>
      </c>
      <c r="K61" s="1">
        <f>SUMIFS($U$2:$U$10,$R$2:$R$10,E61)</f>
        <v>0</v>
      </c>
      <c r="L61" s="1">
        <f>SUMIFS($V$2:$V$10,$R$2:$R$10,F61)</f>
        <v>0</v>
      </c>
      <c r="M61" s="1">
        <f>SUMIFS($T$2:$T$10,$R$2:$R$10,D61)</f>
        <v>0.22</v>
      </c>
    </row>
    <row r="62" spans="1:13" x14ac:dyDescent="0.25">
      <c r="A62" s="3">
        <f>(A$2+A$2*M62+A$2*L62)*(1+K62)</f>
        <v>560.02800000000002</v>
      </c>
      <c r="B62" s="3">
        <f>(B$2+B$2*M62+B$2*L62)*(1+K62)</f>
        <v>651.38850000000002</v>
      </c>
      <c r="C62" s="3">
        <f>(C$2+C$2*M62+C$2*L62)*(1+K62)</f>
        <v>684.61049999999989</v>
      </c>
      <c r="D62" s="3">
        <v>3</v>
      </c>
      <c r="E62" s="3">
        <v>1</v>
      </c>
      <c r="F62" s="3">
        <v>2</v>
      </c>
      <c r="G62" s="3">
        <f>SUMIFS($S$2:$S$10,$R$2:$R$10,D62)</f>
        <v>4</v>
      </c>
      <c r="H62" s="3">
        <f>SUMIFS($S$2:$S$10,$R$2:$R$10,E62)</f>
        <v>1</v>
      </c>
      <c r="I62" s="3">
        <f>SUMIFS($S$2:$S$10,$R$2:$R$10,F62)</f>
        <v>2</v>
      </c>
      <c r="J62" s="3">
        <f>SUM(G62:I62)</f>
        <v>7</v>
      </c>
      <c r="K62" s="3">
        <f>SUMIFS($T$2:$T$10,$R$2:$R$10,E62)</f>
        <v>0.13</v>
      </c>
      <c r="L62" s="3">
        <f>SUMIFS($V$2:$V$10,$R$2:$R$10,F62)</f>
        <v>0.02</v>
      </c>
      <c r="M62" s="3">
        <f>SUMIFS($U$2:$U$10,$R$2:$R$10,D62)</f>
        <v>0.03</v>
      </c>
    </row>
    <row r="63" spans="1:13" x14ac:dyDescent="0.25">
      <c r="A63" s="3">
        <f>(A$2+A$2*M63+A$2*L63)*(1+K63)</f>
        <v>569.42079999999999</v>
      </c>
      <c r="B63" s="3">
        <f>(B$2+B$2*M63+B$2*L63)*(1+K63)</f>
        <v>662.31359999999995</v>
      </c>
      <c r="C63" s="3">
        <f>(C$2+C$2*M63+C$2*L63)*(1+K63)</f>
        <v>696.0927999999999</v>
      </c>
      <c r="D63" s="3">
        <v>3</v>
      </c>
      <c r="E63" s="3">
        <v>2</v>
      </c>
      <c r="F63" s="3">
        <v>1</v>
      </c>
      <c r="G63" s="3">
        <f>SUMIFS($S$2:$S$10,$R$2:$R$10,D63)</f>
        <v>4</v>
      </c>
      <c r="H63" s="3">
        <f>SUMIFS($S$2:$S$10,$R$2:$R$10,E63)</f>
        <v>2</v>
      </c>
      <c r="I63" s="3">
        <f>SUMIFS($S$2:$S$10,$R$2:$R$10,F63)</f>
        <v>1</v>
      </c>
      <c r="J63" s="3">
        <f>SUM(G63:I63)</f>
        <v>7</v>
      </c>
      <c r="K63" s="3">
        <f>SUMIFS($T$2:$T$10,$R$2:$R$10,E63)</f>
        <v>0.16</v>
      </c>
      <c r="L63" s="3">
        <f>SUMIFS($V$2:$V$10,$R$2:$R$10,F63)</f>
        <v>0.01</v>
      </c>
      <c r="M63" s="3">
        <f>SUMIFS($U$2:$U$10,$R$2:$R$10,D63)</f>
        <v>0.03</v>
      </c>
    </row>
    <row r="64" spans="1:13" x14ac:dyDescent="0.25">
      <c r="A64" s="3">
        <f>(A$2+A$2*M64+A$2*L64)*(1+K64)</f>
        <v>495.6</v>
      </c>
      <c r="B64" s="3">
        <f>(B$2+B$2*M64+B$2*L64)*(1+K64)</f>
        <v>576.45000000000005</v>
      </c>
      <c r="C64" s="3">
        <f>(C$2+C$2*M64+C$2*L64)*(1+K64)</f>
        <v>605.85</v>
      </c>
      <c r="D64" s="3">
        <v>4</v>
      </c>
      <c r="E64" s="3">
        <v>0</v>
      </c>
      <c r="F64" s="3">
        <v>0</v>
      </c>
      <c r="G64" s="3">
        <f>SUMIFS($S$2:$S$10,$R$2:$R$10,D64)</f>
        <v>7</v>
      </c>
      <c r="H64" s="3">
        <f>SUMIFS($S$2:$S$10,$R$2:$R$10,E64)</f>
        <v>0</v>
      </c>
      <c r="I64" s="3">
        <f>SUMIFS($S$2:$S$10,$R$2:$R$10,F64)</f>
        <v>0</v>
      </c>
      <c r="J64" s="3">
        <f>SUM(G64:I64)</f>
        <v>7</v>
      </c>
      <c r="K64" s="3">
        <f>SUMIFS($T$2:$T$10,$R$2:$R$10,E64)</f>
        <v>0</v>
      </c>
      <c r="L64" s="3">
        <f>SUMIFS($V$2:$V$10,$R$2:$R$10,F64)</f>
        <v>0</v>
      </c>
      <c r="M64" s="3">
        <f>SUMIFS($U$2:$U$10,$R$2:$R$10,D64)</f>
        <v>0.05</v>
      </c>
    </row>
    <row r="65" spans="1:13" x14ac:dyDescent="0.25">
      <c r="A65" s="2">
        <f>(A$2+A$2*K65+A$2*M65)*(1+L65)</f>
        <v>569.42079999999999</v>
      </c>
      <c r="B65" s="2">
        <f>(B$2+B$2*K65+B$2*M65)*(1+L65)</f>
        <v>662.31359999999995</v>
      </c>
      <c r="C65" s="2">
        <f>(C$2+C$2*K65+C$2*M65)*(1+L65)</f>
        <v>696.0927999999999</v>
      </c>
      <c r="D65" s="2">
        <v>3</v>
      </c>
      <c r="E65" s="2">
        <v>1</v>
      </c>
      <c r="F65" s="2">
        <v>2</v>
      </c>
      <c r="G65" s="2">
        <f>SUMIFS($S$2:$S$10,$R$2:$R$10,D65)</f>
        <v>4</v>
      </c>
      <c r="H65" s="2">
        <f>SUMIFS($S$2:$S$10,$R$2:$R$10,E65)</f>
        <v>1</v>
      </c>
      <c r="I65" s="2">
        <f>SUMIFS($S$2:$S$10,$R$2:$R$10,F65)</f>
        <v>2</v>
      </c>
      <c r="J65" s="2">
        <f>SUM(G65:I65)</f>
        <v>7</v>
      </c>
      <c r="K65" s="2">
        <f>SUMIFS($U$2:$U$10,$R$2:$R$10,E65)</f>
        <v>0.01</v>
      </c>
      <c r="L65" s="2">
        <f>SUMIFS($T$2:$T$10,$R$2:$R$10,F65)</f>
        <v>0.16</v>
      </c>
      <c r="M65" s="2">
        <f>SUMIFS($V$2:$V$10,$R$2:$R$10,D65)</f>
        <v>0.03</v>
      </c>
    </row>
    <row r="66" spans="1:13" x14ac:dyDescent="0.25">
      <c r="A66" s="2">
        <f>(A$2+A$2*K66+A$2*M66)*(1+L66)</f>
        <v>560.02800000000002</v>
      </c>
      <c r="B66" s="2">
        <f>(B$2+B$2*K66+B$2*M66)*(1+L66)</f>
        <v>651.38850000000002</v>
      </c>
      <c r="C66" s="2">
        <f>(C$2+C$2*K66+C$2*M66)*(1+L66)</f>
        <v>684.61049999999989</v>
      </c>
      <c r="D66" s="2">
        <v>3</v>
      </c>
      <c r="E66" s="2">
        <v>2</v>
      </c>
      <c r="F66" s="2">
        <v>1</v>
      </c>
      <c r="G66" s="2">
        <f>SUMIFS($S$2:$S$10,$R$2:$R$10,D66)</f>
        <v>4</v>
      </c>
      <c r="H66" s="2">
        <f>SUMIFS($S$2:$S$10,$R$2:$R$10,E66)</f>
        <v>2</v>
      </c>
      <c r="I66" s="2">
        <f>SUMIFS($S$2:$S$10,$R$2:$R$10,F66)</f>
        <v>1</v>
      </c>
      <c r="J66" s="2">
        <f>SUM(G66:I66)</f>
        <v>7</v>
      </c>
      <c r="K66" s="2">
        <f>SUMIFS($U$2:$U$10,$R$2:$R$10,E66)</f>
        <v>0.02</v>
      </c>
      <c r="L66" s="2">
        <f>SUMIFS($T$2:$T$10,$R$2:$R$10,F66)</f>
        <v>0.13</v>
      </c>
      <c r="M66" s="2">
        <f>SUMIFS($V$2:$V$10,$R$2:$R$10,D66)</f>
        <v>0.03</v>
      </c>
    </row>
    <row r="67" spans="1:13" x14ac:dyDescent="0.25">
      <c r="A67" s="2">
        <f>(A$2+A$2*K67+A$2*M67)*(1+L67)</f>
        <v>490.88</v>
      </c>
      <c r="B67" s="2">
        <f>(B$2+B$2*K67+B$2*M67)*(1+L67)</f>
        <v>570.96</v>
      </c>
      <c r="C67" s="2">
        <f>(C$2+C$2*K67+C$2*M67)*(1+L67)</f>
        <v>600.08000000000004</v>
      </c>
      <c r="D67" s="2">
        <v>4</v>
      </c>
      <c r="E67" s="2">
        <v>0</v>
      </c>
      <c r="F67" s="2">
        <v>0</v>
      </c>
      <c r="G67" s="2">
        <f>SUMIFS($S$2:$S$10,$R$2:$R$10,D67)</f>
        <v>7</v>
      </c>
      <c r="H67" s="2">
        <f>SUMIFS($S$2:$S$10,$R$2:$R$10,E67)</f>
        <v>0</v>
      </c>
      <c r="I67" s="2">
        <f>SUMIFS($S$2:$S$10,$R$2:$R$10,F67)</f>
        <v>0</v>
      </c>
      <c r="J67" s="2">
        <f>SUM(G67:I67)</f>
        <v>7</v>
      </c>
      <c r="K67" s="2">
        <f>SUMIFS($U$2:$U$10,$R$2:$R$10,E67)</f>
        <v>0</v>
      </c>
      <c r="L67" s="2">
        <f>SUMIFS($T$2:$T$10,$R$2:$R$10,F67)</f>
        <v>0</v>
      </c>
      <c r="M67" s="2">
        <f>SUMIFS($V$2:$V$10,$R$2:$R$10,D67)</f>
        <v>0.04</v>
      </c>
    </row>
    <row r="68" spans="1:13" x14ac:dyDescent="0.25">
      <c r="A68" s="1">
        <f>(A$2+A$2*K68+A$2*L68)*(1+M68)</f>
        <v>578.53039999999999</v>
      </c>
      <c r="B68" s="1">
        <f>(B$2+B$2*K68+B$2*L68)*(1+M68)</f>
        <v>672.90930000000003</v>
      </c>
      <c r="C68" s="1">
        <f>(C$2+C$2*K68+C$2*L68)*(1+M68)</f>
        <v>707.22889999999995</v>
      </c>
      <c r="D68" s="1">
        <v>3</v>
      </c>
      <c r="E68" s="1">
        <v>0</v>
      </c>
      <c r="F68" s="1">
        <v>3</v>
      </c>
      <c r="G68" s="1">
        <f>SUMIFS($S$2:$S$10,$R$2:$R$10,D68)</f>
        <v>4</v>
      </c>
      <c r="H68" s="1">
        <f>SUMIFS($S$2:$S$10,$R$2:$R$10,E68)</f>
        <v>0</v>
      </c>
      <c r="I68" s="1">
        <f>SUMIFS($S$2:$S$10,$R$2:$R$10,F68)</f>
        <v>4</v>
      </c>
      <c r="J68" s="1">
        <f>SUM(G68:I68)</f>
        <v>8</v>
      </c>
      <c r="K68" s="1">
        <f>SUMIFS($U$2:$U$10,$R$2:$R$10,E68)</f>
        <v>0</v>
      </c>
      <c r="L68" s="1">
        <f>SUMIFS($V$2:$V$10,$R$2:$R$10,F68)</f>
        <v>0.03</v>
      </c>
      <c r="M68" s="1">
        <f>SUMIFS($T$2:$T$10,$R$2:$R$10,D68)</f>
        <v>0.19</v>
      </c>
    </row>
    <row r="69" spans="1:13" x14ac:dyDescent="0.25">
      <c r="A69" s="1">
        <f>(A$2+A$2*K69+A$2*L69)*(1+M69)</f>
        <v>584.1472</v>
      </c>
      <c r="B69" s="1">
        <f>(B$2+B$2*K69+B$2*L69)*(1+M69)</f>
        <v>679.44240000000002</v>
      </c>
      <c r="C69" s="1">
        <f>(C$2+C$2*K69+C$2*L69)*(1+M69)</f>
        <v>714.09519999999986</v>
      </c>
      <c r="D69" s="1">
        <v>3</v>
      </c>
      <c r="E69" s="1">
        <v>2</v>
      </c>
      <c r="F69" s="1">
        <v>2</v>
      </c>
      <c r="G69" s="1">
        <f>SUMIFS($S$2:$S$10,$R$2:$R$10,D69)</f>
        <v>4</v>
      </c>
      <c r="H69" s="1">
        <f>SUMIFS($S$2:$S$10,$R$2:$R$10,E69)</f>
        <v>2</v>
      </c>
      <c r="I69" s="1">
        <f>SUMIFS($S$2:$S$10,$R$2:$R$10,F69)</f>
        <v>2</v>
      </c>
      <c r="J69" s="1">
        <f>SUM(G69:I69)</f>
        <v>8</v>
      </c>
      <c r="K69" s="1">
        <f>SUMIFS($U$2:$U$10,$R$2:$R$10,E69)</f>
        <v>0.02</v>
      </c>
      <c r="L69" s="1">
        <f>SUMIFS($V$2:$V$10,$R$2:$R$10,F69)</f>
        <v>0.02</v>
      </c>
      <c r="M69" s="1">
        <f>SUMIFS($T$2:$T$10,$R$2:$R$10,D69)</f>
        <v>0.19</v>
      </c>
    </row>
    <row r="70" spans="1:13" x14ac:dyDescent="0.25">
      <c r="A70" s="1">
        <f>(A$2+A$2*K70+A$2*L70)*(1+M70)</f>
        <v>578.53039999999999</v>
      </c>
      <c r="B70" s="1">
        <f>(B$2+B$2*K70+B$2*L70)*(1+M70)</f>
        <v>672.90930000000003</v>
      </c>
      <c r="C70" s="1">
        <f>(C$2+C$2*K70+C$2*L70)*(1+M70)</f>
        <v>707.22889999999995</v>
      </c>
      <c r="D70" s="1">
        <v>3</v>
      </c>
      <c r="E70" s="1">
        <v>3</v>
      </c>
      <c r="F70" s="1">
        <v>0</v>
      </c>
      <c r="G70" s="1">
        <f>SUMIFS($S$2:$S$10,$R$2:$R$10,D70)</f>
        <v>4</v>
      </c>
      <c r="H70" s="1">
        <f>SUMIFS($S$2:$S$10,$R$2:$R$10,E70)</f>
        <v>4</v>
      </c>
      <c r="I70" s="1">
        <f>SUMIFS($S$2:$S$10,$R$2:$R$10,F70)</f>
        <v>0</v>
      </c>
      <c r="J70" s="1">
        <f>SUM(G70:I70)</f>
        <v>8</v>
      </c>
      <c r="K70" s="1">
        <f>SUMIFS($U$2:$U$10,$R$2:$R$10,E70)</f>
        <v>0.03</v>
      </c>
      <c r="L70" s="1">
        <f>SUMIFS($V$2:$V$10,$R$2:$R$10,F70)</f>
        <v>0</v>
      </c>
      <c r="M70" s="1">
        <f>SUMIFS($T$2:$T$10,$R$2:$R$10,D70)</f>
        <v>0.19</v>
      </c>
    </row>
    <row r="71" spans="1:13" x14ac:dyDescent="0.25">
      <c r="A71" s="1">
        <f>(A$2+A$2*K71+A$2*L71)*(1+M71)</f>
        <v>581.59839999999997</v>
      </c>
      <c r="B71" s="1">
        <f>(B$2+B$2*K71+B$2*L71)*(1+M71)</f>
        <v>676.4778</v>
      </c>
      <c r="C71" s="1">
        <f>(C$2+C$2*K71+C$2*L71)*(1+M71)</f>
        <v>710.97939999999994</v>
      </c>
      <c r="D71" s="1">
        <v>4</v>
      </c>
      <c r="E71" s="1">
        <v>0</v>
      </c>
      <c r="F71" s="1">
        <v>1</v>
      </c>
      <c r="G71" s="1">
        <f>SUMIFS($S$2:$S$10,$R$2:$R$10,D71)</f>
        <v>7</v>
      </c>
      <c r="H71" s="1">
        <f>SUMIFS($S$2:$S$10,$R$2:$R$10,E71)</f>
        <v>0</v>
      </c>
      <c r="I71" s="1">
        <f>SUMIFS($S$2:$S$10,$R$2:$R$10,F71)</f>
        <v>1</v>
      </c>
      <c r="J71" s="1">
        <f>SUM(G71:I71)</f>
        <v>8</v>
      </c>
      <c r="K71" s="1">
        <f>SUMIFS($U$2:$U$10,$R$2:$R$10,E71)</f>
        <v>0</v>
      </c>
      <c r="L71" s="1">
        <f>SUMIFS($V$2:$V$10,$R$2:$R$10,F71)</f>
        <v>0.01</v>
      </c>
      <c r="M71" s="1">
        <f>SUMIFS($T$2:$T$10,$R$2:$R$10,D71)</f>
        <v>0.22</v>
      </c>
    </row>
    <row r="72" spans="1:13" x14ac:dyDescent="0.25">
      <c r="A72" s="1">
        <f>(A$2+A$2*K72+A$2*L72)*(1+M72)</f>
        <v>581.59839999999997</v>
      </c>
      <c r="B72" s="1">
        <f>(B$2+B$2*K72+B$2*L72)*(1+M72)</f>
        <v>676.4778</v>
      </c>
      <c r="C72" s="1">
        <f>(C$2+C$2*K72+C$2*L72)*(1+M72)</f>
        <v>710.97939999999994</v>
      </c>
      <c r="D72" s="1">
        <v>4</v>
      </c>
      <c r="E72" s="1">
        <v>1</v>
      </c>
      <c r="F72" s="1">
        <v>0</v>
      </c>
      <c r="G72" s="1">
        <f>SUMIFS($S$2:$S$10,$R$2:$R$10,D72)</f>
        <v>7</v>
      </c>
      <c r="H72" s="1">
        <f>SUMIFS($S$2:$S$10,$R$2:$R$10,E72)</f>
        <v>1</v>
      </c>
      <c r="I72" s="1">
        <f>SUMIFS($S$2:$S$10,$R$2:$R$10,F72)</f>
        <v>0</v>
      </c>
      <c r="J72" s="1">
        <f>SUM(G72:I72)</f>
        <v>8</v>
      </c>
      <c r="K72" s="1">
        <f>SUMIFS($U$2:$U$10,$R$2:$R$10,E72)</f>
        <v>0.01</v>
      </c>
      <c r="L72" s="1">
        <f>SUMIFS($V$2:$V$10,$R$2:$R$10,F72)</f>
        <v>0</v>
      </c>
      <c r="M72" s="1">
        <f>SUMIFS($T$2:$T$10,$R$2:$R$10,D72)</f>
        <v>0.22</v>
      </c>
    </row>
    <row r="73" spans="1:13" x14ac:dyDescent="0.25">
      <c r="A73" s="3">
        <f>(A$2+A$2*M73+A$2*L73)*(1+K73)</f>
        <v>500.32000000000005</v>
      </c>
      <c r="B73" s="3">
        <f>(B$2+B$2*M73+B$2*L73)*(1+K73)</f>
        <v>581.94000000000005</v>
      </c>
      <c r="C73" s="3">
        <f>(C$2+C$2*M73+C$2*L73)*(1+K73)</f>
        <v>611.61999999999989</v>
      </c>
      <c r="D73" s="3">
        <v>3</v>
      </c>
      <c r="E73" s="3">
        <v>0</v>
      </c>
      <c r="F73" s="3">
        <v>3</v>
      </c>
      <c r="G73" s="3">
        <f>SUMIFS($S$2:$S$10,$R$2:$R$10,D73)</f>
        <v>4</v>
      </c>
      <c r="H73" s="3">
        <f>SUMIFS($S$2:$S$10,$R$2:$R$10,E73)</f>
        <v>0</v>
      </c>
      <c r="I73" s="3">
        <f>SUMIFS($S$2:$S$10,$R$2:$R$10,F73)</f>
        <v>4</v>
      </c>
      <c r="J73" s="3">
        <f>SUM(G73:I73)</f>
        <v>8</v>
      </c>
      <c r="K73" s="3">
        <f>SUMIFS($T$2:$T$10,$R$2:$R$10,E73)</f>
        <v>0</v>
      </c>
      <c r="L73" s="3">
        <f>SUMIFS($V$2:$V$10,$R$2:$R$10,F73)</f>
        <v>0.03</v>
      </c>
      <c r="M73" s="3">
        <f>SUMIFS($U$2:$U$10,$R$2:$R$10,D73)</f>
        <v>0.03</v>
      </c>
    </row>
    <row r="74" spans="1:13" x14ac:dyDescent="0.25">
      <c r="A74" s="3">
        <f>(A$2+A$2*M74+A$2*L74)*(1+K74)</f>
        <v>574.89599999999996</v>
      </c>
      <c r="B74" s="3">
        <f>(B$2+B$2*M74+B$2*L74)*(1+K74)</f>
        <v>668.68200000000002</v>
      </c>
      <c r="C74" s="3">
        <f>(C$2+C$2*M74+C$2*L74)*(1+K74)</f>
        <v>702.78599999999983</v>
      </c>
      <c r="D74" s="3">
        <v>3</v>
      </c>
      <c r="E74" s="3">
        <v>2</v>
      </c>
      <c r="F74" s="3">
        <v>2</v>
      </c>
      <c r="G74" s="3">
        <f>SUMIFS($S$2:$S$10,$R$2:$R$10,D74)</f>
        <v>4</v>
      </c>
      <c r="H74" s="3">
        <f>SUMIFS($S$2:$S$10,$R$2:$R$10,E74)</f>
        <v>2</v>
      </c>
      <c r="I74" s="3">
        <f>SUMIFS($S$2:$S$10,$R$2:$R$10,F74)</f>
        <v>2</v>
      </c>
      <c r="J74" s="3">
        <f>SUM(G74:I74)</f>
        <v>8</v>
      </c>
      <c r="K74" s="3">
        <f>SUMIFS($T$2:$T$10,$R$2:$R$10,E74)</f>
        <v>0.16</v>
      </c>
      <c r="L74" s="3">
        <f>SUMIFS($V$2:$V$10,$R$2:$R$10,F74)</f>
        <v>0.02</v>
      </c>
      <c r="M74" s="3">
        <f>SUMIFS($U$2:$U$10,$R$2:$R$10,D74)</f>
        <v>0.03</v>
      </c>
    </row>
    <row r="75" spans="1:13" x14ac:dyDescent="0.25">
      <c r="A75" s="3">
        <f>(A$2+A$2*M75+A$2*L75)*(1+K75)</f>
        <v>578.53039999999999</v>
      </c>
      <c r="B75" s="3">
        <f>(B$2+B$2*M75+B$2*L75)*(1+K75)</f>
        <v>672.90930000000003</v>
      </c>
      <c r="C75" s="3">
        <f>(C$2+C$2*M75+C$2*L75)*(1+K75)</f>
        <v>707.22889999999995</v>
      </c>
      <c r="D75" s="3">
        <v>3</v>
      </c>
      <c r="E75" s="3">
        <v>3</v>
      </c>
      <c r="F75" s="3">
        <v>0</v>
      </c>
      <c r="G75" s="3">
        <f>SUMIFS($S$2:$S$10,$R$2:$R$10,D75)</f>
        <v>4</v>
      </c>
      <c r="H75" s="3">
        <f>SUMIFS($S$2:$S$10,$R$2:$R$10,E75)</f>
        <v>4</v>
      </c>
      <c r="I75" s="3">
        <f>SUMIFS($S$2:$S$10,$R$2:$R$10,F75)</f>
        <v>0</v>
      </c>
      <c r="J75" s="3">
        <f>SUM(G75:I75)</f>
        <v>8</v>
      </c>
      <c r="K75" s="3">
        <f>SUMIFS($T$2:$T$10,$R$2:$R$10,E75)</f>
        <v>0.19</v>
      </c>
      <c r="L75" s="3">
        <f>SUMIFS($V$2:$V$10,$R$2:$R$10,F75)</f>
        <v>0</v>
      </c>
      <c r="M75" s="3">
        <f>SUMIFS($U$2:$U$10,$R$2:$R$10,D75)</f>
        <v>0.03</v>
      </c>
    </row>
    <row r="76" spans="1:13" x14ac:dyDescent="0.25">
      <c r="A76" s="3">
        <f>(A$2+A$2*M76+A$2*L76)*(1+K76)</f>
        <v>500.32000000000005</v>
      </c>
      <c r="B76" s="3">
        <f>(B$2+B$2*M76+B$2*L76)*(1+K76)</f>
        <v>581.94000000000005</v>
      </c>
      <c r="C76" s="3">
        <f>(C$2+C$2*M76+C$2*L76)*(1+K76)</f>
        <v>611.62</v>
      </c>
      <c r="D76" s="3">
        <v>4</v>
      </c>
      <c r="E76" s="3">
        <v>0</v>
      </c>
      <c r="F76" s="3">
        <v>1</v>
      </c>
      <c r="G76" s="3">
        <f>SUMIFS($S$2:$S$10,$R$2:$R$10,D76)</f>
        <v>7</v>
      </c>
      <c r="H76" s="3">
        <f>SUMIFS($S$2:$S$10,$R$2:$R$10,E76)</f>
        <v>0</v>
      </c>
      <c r="I76" s="3">
        <f>SUMIFS($S$2:$S$10,$R$2:$R$10,F76)</f>
        <v>1</v>
      </c>
      <c r="J76" s="3">
        <f>SUM(G76:I76)</f>
        <v>8</v>
      </c>
      <c r="K76" s="3">
        <f>SUMIFS($T$2:$T$10,$R$2:$R$10,E76)</f>
        <v>0</v>
      </c>
      <c r="L76" s="3">
        <f>SUMIFS($V$2:$V$10,$R$2:$R$10,F76)</f>
        <v>0.01</v>
      </c>
      <c r="M76" s="3">
        <f>SUMIFS($U$2:$U$10,$R$2:$R$10,D76)</f>
        <v>0.05</v>
      </c>
    </row>
    <row r="77" spans="1:13" x14ac:dyDescent="0.25">
      <c r="A77" s="3">
        <f>(A$2+A$2*M77+A$2*L77)*(1+K77)</f>
        <v>560.02800000000002</v>
      </c>
      <c r="B77" s="3">
        <f>(B$2+B$2*M77+B$2*L77)*(1+K77)</f>
        <v>651.38850000000002</v>
      </c>
      <c r="C77" s="3">
        <f>(C$2+C$2*M77+C$2*L77)*(1+K77)</f>
        <v>684.6105</v>
      </c>
      <c r="D77" s="3">
        <v>4</v>
      </c>
      <c r="E77" s="3">
        <v>1</v>
      </c>
      <c r="F77" s="3">
        <v>0</v>
      </c>
      <c r="G77" s="3">
        <f>SUMIFS($S$2:$S$10,$R$2:$R$10,D77)</f>
        <v>7</v>
      </c>
      <c r="H77" s="3">
        <f>SUMIFS($S$2:$S$10,$R$2:$R$10,E77)</f>
        <v>1</v>
      </c>
      <c r="I77" s="3">
        <f>SUMIFS($S$2:$S$10,$R$2:$R$10,F77)</f>
        <v>0</v>
      </c>
      <c r="J77" s="3">
        <f>SUM(G77:I77)</f>
        <v>8</v>
      </c>
      <c r="K77" s="3">
        <f>SUMIFS($T$2:$T$10,$R$2:$R$10,E77)</f>
        <v>0.13</v>
      </c>
      <c r="L77" s="3">
        <f>SUMIFS($V$2:$V$10,$R$2:$R$10,F77)</f>
        <v>0</v>
      </c>
      <c r="M77" s="3">
        <f>SUMIFS($U$2:$U$10,$R$2:$R$10,D77)</f>
        <v>0.05</v>
      </c>
    </row>
    <row r="78" spans="1:13" x14ac:dyDescent="0.25">
      <c r="A78" s="2">
        <f>(A$2+A$2*K78+A$2*M78)*(1+L78)</f>
        <v>578.53039999999999</v>
      </c>
      <c r="B78" s="2">
        <f>(B$2+B$2*K78+B$2*M78)*(1+L78)</f>
        <v>672.90930000000003</v>
      </c>
      <c r="C78" s="2">
        <f>(C$2+C$2*K78+C$2*M78)*(1+L78)</f>
        <v>707.22889999999995</v>
      </c>
      <c r="D78" s="2">
        <v>3</v>
      </c>
      <c r="E78" s="2">
        <v>0</v>
      </c>
      <c r="F78" s="2">
        <v>3</v>
      </c>
      <c r="G78" s="2">
        <f>SUMIFS($S$2:$S$10,$R$2:$R$10,D78)</f>
        <v>4</v>
      </c>
      <c r="H78" s="2">
        <f>SUMIFS($S$2:$S$10,$R$2:$R$10,E78)</f>
        <v>0</v>
      </c>
      <c r="I78" s="2">
        <f>SUMIFS($S$2:$S$10,$R$2:$R$10,F78)</f>
        <v>4</v>
      </c>
      <c r="J78" s="2">
        <f>SUM(G78:I78)</f>
        <v>8</v>
      </c>
      <c r="K78" s="2">
        <f>SUMIFS($U$2:$U$10,$R$2:$R$10,E78)</f>
        <v>0</v>
      </c>
      <c r="L78" s="2">
        <f>SUMIFS($T$2:$T$10,$R$2:$R$10,F78)</f>
        <v>0.19</v>
      </c>
      <c r="M78" s="2">
        <f>SUMIFS($V$2:$V$10,$R$2:$R$10,D78)</f>
        <v>0.03</v>
      </c>
    </row>
    <row r="79" spans="1:13" x14ac:dyDescent="0.25">
      <c r="A79" s="2">
        <f>(A$2+A$2*K79+A$2*M79)*(1+L79)</f>
        <v>574.89599999999996</v>
      </c>
      <c r="B79" s="2">
        <f>(B$2+B$2*K79+B$2*M79)*(1+L79)</f>
        <v>668.68200000000002</v>
      </c>
      <c r="C79" s="2">
        <f>(C$2+C$2*K79+C$2*M79)*(1+L79)</f>
        <v>702.78599999999983</v>
      </c>
      <c r="D79" s="2">
        <v>3</v>
      </c>
      <c r="E79" s="2">
        <v>2</v>
      </c>
      <c r="F79" s="2">
        <v>2</v>
      </c>
      <c r="G79" s="2">
        <f>SUMIFS($S$2:$S$10,$R$2:$R$10,D79)</f>
        <v>4</v>
      </c>
      <c r="H79" s="2">
        <f>SUMIFS($S$2:$S$10,$R$2:$R$10,E79)</f>
        <v>2</v>
      </c>
      <c r="I79" s="2">
        <f>SUMIFS($S$2:$S$10,$R$2:$R$10,F79)</f>
        <v>2</v>
      </c>
      <c r="J79" s="2">
        <f>SUM(G79:I79)</f>
        <v>8</v>
      </c>
      <c r="K79" s="2">
        <f>SUMIFS($U$2:$U$10,$R$2:$R$10,E79)</f>
        <v>0.02</v>
      </c>
      <c r="L79" s="2">
        <f>SUMIFS($T$2:$T$10,$R$2:$R$10,F79)</f>
        <v>0.16</v>
      </c>
      <c r="M79" s="2">
        <f>SUMIFS($V$2:$V$10,$R$2:$R$10,D79)</f>
        <v>0.03</v>
      </c>
    </row>
    <row r="80" spans="1:13" x14ac:dyDescent="0.25">
      <c r="A80" s="2">
        <f>(A$2+A$2*K80+A$2*M80)*(1+L80)</f>
        <v>500.32000000000005</v>
      </c>
      <c r="B80" s="2">
        <f>(B$2+B$2*K80+B$2*M80)*(1+L80)</f>
        <v>581.94000000000005</v>
      </c>
      <c r="C80" s="2">
        <f>(C$2+C$2*K80+C$2*M80)*(1+L80)</f>
        <v>611.61999999999989</v>
      </c>
      <c r="D80" s="2">
        <v>3</v>
      </c>
      <c r="E80" s="2">
        <v>3</v>
      </c>
      <c r="F80" s="2">
        <v>0</v>
      </c>
      <c r="G80" s="2">
        <f>SUMIFS($S$2:$S$10,$R$2:$R$10,D80)</f>
        <v>4</v>
      </c>
      <c r="H80" s="2">
        <f>SUMIFS($S$2:$S$10,$R$2:$R$10,E80)</f>
        <v>4</v>
      </c>
      <c r="I80" s="2">
        <f>SUMIFS($S$2:$S$10,$R$2:$R$10,F80)</f>
        <v>0</v>
      </c>
      <c r="J80" s="2">
        <f>SUM(G80:I80)</f>
        <v>8</v>
      </c>
      <c r="K80" s="2">
        <f>SUMIFS($U$2:$U$10,$R$2:$R$10,E80)</f>
        <v>0.03</v>
      </c>
      <c r="L80" s="2">
        <f>SUMIFS($T$2:$T$10,$R$2:$R$10,F80)</f>
        <v>0</v>
      </c>
      <c r="M80" s="2">
        <f>SUMIFS($V$2:$V$10,$R$2:$R$10,D80)</f>
        <v>0.03</v>
      </c>
    </row>
    <row r="81" spans="1:13" x14ac:dyDescent="0.25">
      <c r="A81" s="2">
        <f>(A$2+A$2*K81+A$2*M81)*(1+L81)</f>
        <v>554.69439999999997</v>
      </c>
      <c r="B81" s="2">
        <f>(B$2+B$2*K81+B$2*M81)*(1+L81)</f>
        <v>645.1848</v>
      </c>
      <c r="C81" s="2">
        <f>(C$2+C$2*K81+C$2*M81)*(1+L81)</f>
        <v>678.09039999999993</v>
      </c>
      <c r="D81" s="2">
        <v>4</v>
      </c>
      <c r="E81" s="2">
        <v>0</v>
      </c>
      <c r="F81" s="2">
        <v>1</v>
      </c>
      <c r="G81" s="2">
        <f>SUMIFS($S$2:$S$10,$R$2:$R$10,D81)</f>
        <v>7</v>
      </c>
      <c r="H81" s="2">
        <f>SUMIFS($S$2:$S$10,$R$2:$R$10,E81)</f>
        <v>0</v>
      </c>
      <c r="I81" s="2">
        <f>SUMIFS($S$2:$S$10,$R$2:$R$10,F81)</f>
        <v>1</v>
      </c>
      <c r="J81" s="2">
        <f>SUM(G81:I81)</f>
        <v>8</v>
      </c>
      <c r="K81" s="2">
        <f>SUMIFS($U$2:$U$10,$R$2:$R$10,E81)</f>
        <v>0</v>
      </c>
      <c r="L81" s="2">
        <f>SUMIFS($T$2:$T$10,$R$2:$R$10,F81)</f>
        <v>0.13</v>
      </c>
      <c r="M81" s="2">
        <f>SUMIFS($V$2:$V$10,$R$2:$R$10,D81)</f>
        <v>0.04</v>
      </c>
    </row>
    <row r="82" spans="1:13" x14ac:dyDescent="0.25">
      <c r="A82" s="2">
        <f>(A$2+A$2*K82+A$2*M82)*(1+L82)</f>
        <v>495.6</v>
      </c>
      <c r="B82" s="2">
        <f>(B$2+B$2*K82+B$2*M82)*(1+L82)</f>
        <v>576.45000000000005</v>
      </c>
      <c r="C82" s="2">
        <f>(C$2+C$2*K82+C$2*M82)*(1+L82)</f>
        <v>605.85</v>
      </c>
      <c r="D82" s="2">
        <v>4</v>
      </c>
      <c r="E82" s="2">
        <v>1</v>
      </c>
      <c r="F82" s="2">
        <v>0</v>
      </c>
      <c r="G82" s="2">
        <f>SUMIFS($S$2:$S$10,$R$2:$R$10,D82)</f>
        <v>7</v>
      </c>
      <c r="H82" s="2">
        <f>SUMIFS($S$2:$S$10,$R$2:$R$10,E82)</f>
        <v>1</v>
      </c>
      <c r="I82" s="2">
        <f>SUMIFS($S$2:$S$10,$R$2:$R$10,F82)</f>
        <v>0</v>
      </c>
      <c r="J82" s="2">
        <f>SUM(G82:I82)</f>
        <v>8</v>
      </c>
      <c r="K82" s="2">
        <f>SUMIFS($U$2:$U$10,$R$2:$R$10,E82)</f>
        <v>0.01</v>
      </c>
      <c r="L82" s="2">
        <f>SUMIFS($T$2:$T$10,$R$2:$R$10,F82)</f>
        <v>0</v>
      </c>
      <c r="M82" s="2">
        <f>SUMIFS($V$2:$V$10,$R$2:$R$10,D82)</f>
        <v>0.04</v>
      </c>
    </row>
    <row r="83" spans="1:13" x14ac:dyDescent="0.25">
      <c r="A83" s="1">
        <f>(A$2+A$2*K83+A$2*L83)*(1+M83)</f>
        <v>584.1472</v>
      </c>
      <c r="B83" s="1">
        <f>(B$2+B$2*K83+B$2*L83)*(1+M83)</f>
        <v>679.44240000000002</v>
      </c>
      <c r="C83" s="1">
        <f>(C$2+C$2*K83+C$2*L83)*(1+M83)</f>
        <v>714.09519999999986</v>
      </c>
      <c r="D83" s="1">
        <v>3</v>
      </c>
      <c r="E83" s="1">
        <v>1</v>
      </c>
      <c r="F83" s="1">
        <v>3</v>
      </c>
      <c r="G83" s="1">
        <f>SUMIFS($S$2:$S$10,$R$2:$R$10,D83)</f>
        <v>4</v>
      </c>
      <c r="H83" s="1">
        <f>SUMIFS($S$2:$S$10,$R$2:$R$10,E83)</f>
        <v>1</v>
      </c>
      <c r="I83" s="1">
        <f>SUMIFS($S$2:$S$10,$R$2:$R$10,F83)</f>
        <v>4</v>
      </c>
      <c r="J83" s="1">
        <f>SUM(G83:I83)</f>
        <v>9</v>
      </c>
      <c r="K83" s="1">
        <f>SUMIFS($U$2:$U$10,$R$2:$R$10,E83)</f>
        <v>0.01</v>
      </c>
      <c r="L83" s="1">
        <f>SUMIFS($V$2:$V$10,$R$2:$R$10,F83)</f>
        <v>0.03</v>
      </c>
      <c r="M83" s="1">
        <f>SUMIFS($T$2:$T$10,$R$2:$R$10,D83)</f>
        <v>0.19</v>
      </c>
    </row>
    <row r="84" spans="1:13" x14ac:dyDescent="0.25">
      <c r="A84" s="1">
        <f>(A$2+A$2*K84+A$2*L84)*(1+M84)</f>
        <v>584.1472</v>
      </c>
      <c r="B84" s="1">
        <f>(B$2+B$2*K84+B$2*L84)*(1+M84)</f>
        <v>679.44240000000002</v>
      </c>
      <c r="C84" s="1">
        <f>(C$2+C$2*K84+C$2*L84)*(1+M84)</f>
        <v>714.09519999999986</v>
      </c>
      <c r="D84" s="1">
        <v>3</v>
      </c>
      <c r="E84" s="1">
        <v>3</v>
      </c>
      <c r="F84" s="1">
        <v>1</v>
      </c>
      <c r="G84" s="1">
        <f>SUMIFS($S$2:$S$10,$R$2:$R$10,D84)</f>
        <v>4</v>
      </c>
      <c r="H84" s="1">
        <f>SUMIFS($S$2:$S$10,$R$2:$R$10,E84)</f>
        <v>4</v>
      </c>
      <c r="I84" s="1">
        <f>SUMIFS($S$2:$S$10,$R$2:$R$10,F84)</f>
        <v>1</v>
      </c>
      <c r="J84" s="1">
        <f>SUM(G84:I84)</f>
        <v>9</v>
      </c>
      <c r="K84" s="1">
        <f>SUMIFS($U$2:$U$10,$R$2:$R$10,E84)</f>
        <v>0.03</v>
      </c>
      <c r="L84" s="1">
        <f>SUMIFS($V$2:$V$10,$R$2:$R$10,F84)</f>
        <v>0.01</v>
      </c>
      <c r="M84" s="1">
        <f>SUMIFS($T$2:$T$10,$R$2:$R$10,D84)</f>
        <v>0.19</v>
      </c>
    </row>
    <row r="85" spans="1:13" x14ac:dyDescent="0.25">
      <c r="A85" s="1">
        <f>(A$2+A$2*K85+A$2*L85)*(1+M85)</f>
        <v>587.35680000000002</v>
      </c>
      <c r="B85" s="1">
        <f>(B$2+B$2*K85+B$2*L85)*(1+M85)</f>
        <v>683.17560000000003</v>
      </c>
      <c r="C85" s="1">
        <f>(C$2+C$2*K85+C$2*L85)*(1+M85)</f>
        <v>718.01879999999994</v>
      </c>
      <c r="D85" s="1">
        <v>4</v>
      </c>
      <c r="E85" s="1">
        <v>0</v>
      </c>
      <c r="F85" s="1">
        <v>2</v>
      </c>
      <c r="G85" s="1">
        <f>SUMIFS($S$2:$S$10,$R$2:$R$10,D85)</f>
        <v>7</v>
      </c>
      <c r="H85" s="1">
        <f>SUMIFS($S$2:$S$10,$R$2:$R$10,E85)</f>
        <v>0</v>
      </c>
      <c r="I85" s="1">
        <f>SUMIFS($S$2:$S$10,$R$2:$R$10,F85)</f>
        <v>2</v>
      </c>
      <c r="J85" s="1">
        <f>SUM(G85:I85)</f>
        <v>9</v>
      </c>
      <c r="K85" s="1">
        <f>SUMIFS($U$2:$U$10,$R$2:$R$10,E85)</f>
        <v>0</v>
      </c>
      <c r="L85" s="1">
        <f>SUMIFS($V$2:$V$10,$R$2:$R$10,F85)</f>
        <v>0.02</v>
      </c>
      <c r="M85" s="1">
        <f>SUMIFS($T$2:$T$10,$R$2:$R$10,D85)</f>
        <v>0.22</v>
      </c>
    </row>
    <row r="86" spans="1:13" x14ac:dyDescent="0.25">
      <c r="A86" s="1">
        <f>(A$2+A$2*K86+A$2*L86)*(1+M86)</f>
        <v>587.35680000000002</v>
      </c>
      <c r="B86" s="1">
        <f>(B$2+B$2*K86+B$2*L86)*(1+M86)</f>
        <v>683.17560000000003</v>
      </c>
      <c r="C86" s="1">
        <f>(C$2+C$2*K86+C$2*L86)*(1+M86)</f>
        <v>718.01879999999994</v>
      </c>
      <c r="D86" s="1">
        <v>4</v>
      </c>
      <c r="E86" s="1">
        <v>1</v>
      </c>
      <c r="F86" s="1">
        <v>1</v>
      </c>
      <c r="G86" s="1">
        <f>SUMIFS($S$2:$S$10,$R$2:$R$10,D86)</f>
        <v>7</v>
      </c>
      <c r="H86" s="1">
        <f>SUMIFS($S$2:$S$10,$R$2:$R$10,E86)</f>
        <v>1</v>
      </c>
      <c r="I86" s="1">
        <f>SUMIFS($S$2:$S$10,$R$2:$R$10,F86)</f>
        <v>1</v>
      </c>
      <c r="J86" s="1">
        <f>SUM(G86:I86)</f>
        <v>9</v>
      </c>
      <c r="K86" s="1">
        <f>SUMIFS($U$2:$U$10,$R$2:$R$10,E86)</f>
        <v>0.01</v>
      </c>
      <c r="L86" s="1">
        <f>SUMIFS($V$2:$V$10,$R$2:$R$10,F86)</f>
        <v>0.01</v>
      </c>
      <c r="M86" s="1">
        <f>SUMIFS($T$2:$T$10,$R$2:$R$10,D86)</f>
        <v>0.22</v>
      </c>
    </row>
    <row r="87" spans="1:13" x14ac:dyDescent="0.25">
      <c r="A87" s="1">
        <f>(A$2+A$2*K87+A$2*L87)*(1+M87)</f>
        <v>587.35680000000002</v>
      </c>
      <c r="B87" s="1">
        <f>(B$2+B$2*K87+B$2*L87)*(1+M87)</f>
        <v>683.17560000000003</v>
      </c>
      <c r="C87" s="1">
        <f>(C$2+C$2*K87+C$2*L87)*(1+M87)</f>
        <v>718.01879999999994</v>
      </c>
      <c r="D87" s="1">
        <v>4</v>
      </c>
      <c r="E87" s="1">
        <v>2</v>
      </c>
      <c r="F87" s="1">
        <v>0</v>
      </c>
      <c r="G87" s="1">
        <f>SUMIFS($S$2:$S$10,$R$2:$R$10,D87)</f>
        <v>7</v>
      </c>
      <c r="H87" s="1">
        <f>SUMIFS($S$2:$S$10,$R$2:$R$10,E87)</f>
        <v>2</v>
      </c>
      <c r="I87" s="1">
        <f>SUMIFS($S$2:$S$10,$R$2:$R$10,F87)</f>
        <v>0</v>
      </c>
      <c r="J87" s="1">
        <f>SUM(G87:I87)</f>
        <v>9</v>
      </c>
      <c r="K87" s="1">
        <f>SUMIFS($U$2:$U$10,$R$2:$R$10,E87)</f>
        <v>0.02</v>
      </c>
      <c r="L87" s="1">
        <f>SUMIFS($V$2:$V$10,$R$2:$R$10,F87)</f>
        <v>0</v>
      </c>
      <c r="M87" s="1">
        <f>SUMIFS($T$2:$T$10,$R$2:$R$10,D87)</f>
        <v>0.22</v>
      </c>
    </row>
    <row r="88" spans="1:13" x14ac:dyDescent="0.25">
      <c r="A88" s="3">
        <f>(A$2+A$2*M88+A$2*L88)*(1+K88)</f>
        <v>565.36159999999995</v>
      </c>
      <c r="B88" s="3">
        <f>(B$2+B$2*M88+B$2*L88)*(1+K88)</f>
        <v>657.59220000000005</v>
      </c>
      <c r="C88" s="3">
        <f>(C$2+C$2*M88+C$2*L88)*(1+K88)</f>
        <v>691.13059999999984</v>
      </c>
      <c r="D88" s="3">
        <v>3</v>
      </c>
      <c r="E88" s="3">
        <v>1</v>
      </c>
      <c r="F88" s="3">
        <v>3</v>
      </c>
      <c r="G88" s="3">
        <f>SUMIFS($S$2:$S$10,$R$2:$R$10,D88)</f>
        <v>4</v>
      </c>
      <c r="H88" s="3">
        <f>SUMIFS($S$2:$S$10,$R$2:$R$10,E88)</f>
        <v>1</v>
      </c>
      <c r="I88" s="3">
        <f>SUMIFS($S$2:$S$10,$R$2:$R$10,F88)</f>
        <v>4</v>
      </c>
      <c r="J88" s="3">
        <f>SUM(G88:I88)</f>
        <v>9</v>
      </c>
      <c r="K88" s="3">
        <f>SUMIFS($T$2:$T$10,$R$2:$R$10,E88)</f>
        <v>0.13</v>
      </c>
      <c r="L88" s="3">
        <f>SUMIFS($V$2:$V$10,$R$2:$R$10,F88)</f>
        <v>0.03</v>
      </c>
      <c r="M88" s="3">
        <f>SUMIFS($U$2:$U$10,$R$2:$R$10,D88)</f>
        <v>0.03</v>
      </c>
    </row>
    <row r="89" spans="1:13" x14ac:dyDescent="0.25">
      <c r="A89" s="3">
        <f>(A$2+A$2*M89+A$2*L89)*(1+K89)</f>
        <v>584.1472</v>
      </c>
      <c r="B89" s="3">
        <f>(B$2+B$2*M89+B$2*L89)*(1+K89)</f>
        <v>679.44240000000002</v>
      </c>
      <c r="C89" s="3">
        <f>(C$2+C$2*M89+C$2*L89)*(1+K89)</f>
        <v>714.09519999999986</v>
      </c>
      <c r="D89" s="3">
        <v>3</v>
      </c>
      <c r="E89" s="3">
        <v>3</v>
      </c>
      <c r="F89" s="3">
        <v>1</v>
      </c>
      <c r="G89" s="3">
        <f>SUMIFS($S$2:$S$10,$R$2:$R$10,D89)</f>
        <v>4</v>
      </c>
      <c r="H89" s="3">
        <f>SUMIFS($S$2:$S$10,$R$2:$R$10,E89)</f>
        <v>4</v>
      </c>
      <c r="I89" s="3">
        <f>SUMIFS($S$2:$S$10,$R$2:$R$10,F89)</f>
        <v>1</v>
      </c>
      <c r="J89" s="3">
        <f>SUM(G89:I89)</f>
        <v>9</v>
      </c>
      <c r="K89" s="3">
        <f>SUMIFS($T$2:$T$10,$R$2:$R$10,E89)</f>
        <v>0.19</v>
      </c>
      <c r="L89" s="3">
        <f>SUMIFS($V$2:$V$10,$R$2:$R$10,F89)</f>
        <v>0.01</v>
      </c>
      <c r="M89" s="3">
        <f>SUMIFS($U$2:$U$10,$R$2:$R$10,D89)</f>
        <v>0.03</v>
      </c>
    </row>
    <row r="90" spans="1:13" x14ac:dyDescent="0.25">
      <c r="A90" s="3">
        <f>(A$2+A$2*M90+A$2*L90)*(1+K90)</f>
        <v>505.04</v>
      </c>
      <c r="B90" s="3">
        <f>(B$2+B$2*M90+B$2*L90)*(1+K90)</f>
        <v>587.43000000000006</v>
      </c>
      <c r="C90" s="3">
        <f>(C$2+C$2*M90+C$2*L90)*(1+K90)</f>
        <v>617.39</v>
      </c>
      <c r="D90" s="3">
        <v>4</v>
      </c>
      <c r="E90" s="3">
        <v>0</v>
      </c>
      <c r="F90" s="3">
        <v>2</v>
      </c>
      <c r="G90" s="3">
        <f>SUMIFS($S$2:$S$10,$R$2:$R$10,D90)</f>
        <v>7</v>
      </c>
      <c r="H90" s="3">
        <f>SUMIFS($S$2:$S$10,$R$2:$R$10,E90)</f>
        <v>0</v>
      </c>
      <c r="I90" s="3">
        <f>SUMIFS($S$2:$S$10,$R$2:$R$10,F90)</f>
        <v>2</v>
      </c>
      <c r="J90" s="3">
        <f>SUM(G90:I90)</f>
        <v>9</v>
      </c>
      <c r="K90" s="3">
        <f>SUMIFS($T$2:$T$10,$R$2:$R$10,E90)</f>
        <v>0</v>
      </c>
      <c r="L90" s="3">
        <f>SUMIFS($V$2:$V$10,$R$2:$R$10,F90)</f>
        <v>0.02</v>
      </c>
      <c r="M90" s="3">
        <f>SUMIFS($U$2:$U$10,$R$2:$R$10,D90)</f>
        <v>0.05</v>
      </c>
    </row>
    <row r="91" spans="1:13" x14ac:dyDescent="0.25">
      <c r="A91" s="3">
        <f>(A$2+A$2*M91+A$2*L91)*(1+K91)</f>
        <v>565.36159999999995</v>
      </c>
      <c r="B91" s="3">
        <f>(B$2+B$2*M91+B$2*L91)*(1+K91)</f>
        <v>657.59220000000005</v>
      </c>
      <c r="C91" s="3">
        <f>(C$2+C$2*M91+C$2*L91)*(1+K91)</f>
        <v>691.13059999999996</v>
      </c>
      <c r="D91" s="3">
        <v>4</v>
      </c>
      <c r="E91" s="3">
        <v>1</v>
      </c>
      <c r="F91" s="3">
        <v>1</v>
      </c>
      <c r="G91" s="3">
        <f>SUMIFS($S$2:$S$10,$R$2:$R$10,D91)</f>
        <v>7</v>
      </c>
      <c r="H91" s="3">
        <f>SUMIFS($S$2:$S$10,$R$2:$R$10,E91)</f>
        <v>1</v>
      </c>
      <c r="I91" s="3">
        <f>SUMIFS($S$2:$S$10,$R$2:$R$10,F91)</f>
        <v>1</v>
      </c>
      <c r="J91" s="3">
        <f>SUM(G91:I91)</f>
        <v>9</v>
      </c>
      <c r="K91" s="3">
        <f>SUMIFS($T$2:$T$10,$R$2:$R$10,E91)</f>
        <v>0.13</v>
      </c>
      <c r="L91" s="3">
        <f>SUMIFS($V$2:$V$10,$R$2:$R$10,F91)</f>
        <v>0.01</v>
      </c>
      <c r="M91" s="3">
        <f>SUMIFS($U$2:$U$10,$R$2:$R$10,D91)</f>
        <v>0.05</v>
      </c>
    </row>
    <row r="92" spans="1:13" x14ac:dyDescent="0.25">
      <c r="A92" s="3">
        <f>(A$2+A$2*M92+A$2*L92)*(1+K92)</f>
        <v>574.89599999999996</v>
      </c>
      <c r="B92" s="3">
        <f>(B$2+B$2*M92+B$2*L92)*(1+K92)</f>
        <v>668.68200000000002</v>
      </c>
      <c r="C92" s="3">
        <f>(C$2+C$2*M92+C$2*L92)*(1+K92)</f>
        <v>702.78599999999994</v>
      </c>
      <c r="D92" s="3">
        <v>4</v>
      </c>
      <c r="E92" s="3">
        <v>2</v>
      </c>
      <c r="F92" s="3">
        <v>0</v>
      </c>
      <c r="G92" s="3">
        <f>SUMIFS($S$2:$S$10,$R$2:$R$10,D92)</f>
        <v>7</v>
      </c>
      <c r="H92" s="3">
        <f>SUMIFS($S$2:$S$10,$R$2:$R$10,E92)</f>
        <v>2</v>
      </c>
      <c r="I92" s="3">
        <f>SUMIFS($S$2:$S$10,$R$2:$R$10,F92)</f>
        <v>0</v>
      </c>
      <c r="J92" s="3">
        <f>SUM(G92:I92)</f>
        <v>9</v>
      </c>
      <c r="K92" s="3">
        <f>SUMIFS($T$2:$T$10,$R$2:$R$10,E92)</f>
        <v>0.16</v>
      </c>
      <c r="L92" s="3">
        <f>SUMIFS($V$2:$V$10,$R$2:$R$10,F92)</f>
        <v>0</v>
      </c>
      <c r="M92" s="3">
        <f>SUMIFS($U$2:$U$10,$R$2:$R$10,D92)</f>
        <v>0.05</v>
      </c>
    </row>
    <row r="93" spans="1:13" x14ac:dyDescent="0.25">
      <c r="A93" s="2">
        <f>(A$2+A$2*K93+A$2*M93)*(1+L93)</f>
        <v>584.1472</v>
      </c>
      <c r="B93" s="2">
        <f>(B$2+B$2*K93+B$2*M93)*(1+L93)</f>
        <v>679.44240000000002</v>
      </c>
      <c r="C93" s="2">
        <f>(C$2+C$2*K93+C$2*M93)*(1+L93)</f>
        <v>714.09519999999986</v>
      </c>
      <c r="D93" s="2">
        <v>3</v>
      </c>
      <c r="E93" s="2">
        <v>1</v>
      </c>
      <c r="F93" s="2">
        <v>3</v>
      </c>
      <c r="G93" s="2">
        <f>SUMIFS($S$2:$S$10,$R$2:$R$10,D93)</f>
        <v>4</v>
      </c>
      <c r="H93" s="2">
        <f>SUMIFS($S$2:$S$10,$R$2:$R$10,E93)</f>
        <v>1</v>
      </c>
      <c r="I93" s="2">
        <f>SUMIFS($S$2:$S$10,$R$2:$R$10,F93)</f>
        <v>4</v>
      </c>
      <c r="J93" s="2">
        <f>SUM(G93:I93)</f>
        <v>9</v>
      </c>
      <c r="K93" s="2">
        <f>SUMIFS($U$2:$U$10,$R$2:$R$10,E93)</f>
        <v>0.01</v>
      </c>
      <c r="L93" s="2">
        <f>SUMIFS($T$2:$T$10,$R$2:$R$10,F93)</f>
        <v>0.19</v>
      </c>
      <c r="M93" s="2">
        <f>SUMIFS($V$2:$V$10,$R$2:$R$10,D93)</f>
        <v>0.03</v>
      </c>
    </row>
    <row r="94" spans="1:13" x14ac:dyDescent="0.25">
      <c r="A94" s="2">
        <f>(A$2+A$2*K94+A$2*M94)*(1+L94)</f>
        <v>565.36159999999995</v>
      </c>
      <c r="B94" s="2">
        <f>(B$2+B$2*K94+B$2*M94)*(1+L94)</f>
        <v>657.59220000000005</v>
      </c>
      <c r="C94" s="2">
        <f>(C$2+C$2*K94+C$2*M94)*(1+L94)</f>
        <v>691.13059999999984</v>
      </c>
      <c r="D94" s="2">
        <v>3</v>
      </c>
      <c r="E94" s="2">
        <v>3</v>
      </c>
      <c r="F94" s="2">
        <v>1</v>
      </c>
      <c r="G94" s="2">
        <f>SUMIFS($S$2:$S$10,$R$2:$R$10,D94)</f>
        <v>4</v>
      </c>
      <c r="H94" s="2">
        <f>SUMIFS($S$2:$S$10,$R$2:$R$10,E94)</f>
        <v>4</v>
      </c>
      <c r="I94" s="2">
        <f>SUMIFS($S$2:$S$10,$R$2:$R$10,F94)</f>
        <v>1</v>
      </c>
      <c r="J94" s="2">
        <f>SUM(G94:I94)</f>
        <v>9</v>
      </c>
      <c r="K94" s="2">
        <f>SUMIFS($U$2:$U$10,$R$2:$R$10,E94)</f>
        <v>0.03</v>
      </c>
      <c r="L94" s="2">
        <f>SUMIFS($T$2:$T$10,$R$2:$R$10,F94)</f>
        <v>0.13</v>
      </c>
      <c r="M94" s="2">
        <f>SUMIFS($V$2:$V$10,$R$2:$R$10,D94)</f>
        <v>0.03</v>
      </c>
    </row>
    <row r="95" spans="1:13" x14ac:dyDescent="0.25">
      <c r="A95" s="2">
        <f>(A$2+A$2*K95+A$2*M95)*(1+L95)</f>
        <v>569.42079999999999</v>
      </c>
      <c r="B95" s="2">
        <f>(B$2+B$2*K95+B$2*M95)*(1+L95)</f>
        <v>662.31359999999995</v>
      </c>
      <c r="C95" s="2">
        <f>(C$2+C$2*K95+C$2*M95)*(1+L95)</f>
        <v>696.09280000000001</v>
      </c>
      <c r="D95" s="2">
        <v>4</v>
      </c>
      <c r="E95" s="2">
        <v>0</v>
      </c>
      <c r="F95" s="2">
        <v>2</v>
      </c>
      <c r="G95" s="2">
        <f>SUMIFS($S$2:$S$10,$R$2:$R$10,D95)</f>
        <v>7</v>
      </c>
      <c r="H95" s="2">
        <f>SUMIFS($S$2:$S$10,$R$2:$R$10,E95)</f>
        <v>0</v>
      </c>
      <c r="I95" s="2">
        <f>SUMIFS($S$2:$S$10,$R$2:$R$10,F95)</f>
        <v>2</v>
      </c>
      <c r="J95" s="2">
        <f>SUM(G95:I95)</f>
        <v>9</v>
      </c>
      <c r="K95" s="2">
        <f>SUMIFS($U$2:$U$10,$R$2:$R$10,E95)</f>
        <v>0</v>
      </c>
      <c r="L95" s="2">
        <f>SUMIFS($T$2:$T$10,$R$2:$R$10,F95)</f>
        <v>0.16</v>
      </c>
      <c r="M95" s="2">
        <f>SUMIFS($V$2:$V$10,$R$2:$R$10,D95)</f>
        <v>0.04</v>
      </c>
    </row>
    <row r="96" spans="1:13" x14ac:dyDescent="0.25">
      <c r="A96" s="2">
        <f>(A$2+A$2*K96+A$2*M96)*(1+L96)</f>
        <v>560.02800000000002</v>
      </c>
      <c r="B96" s="2">
        <f>(B$2+B$2*K96+B$2*M96)*(1+L96)</f>
        <v>651.38850000000002</v>
      </c>
      <c r="C96" s="2">
        <f>(C$2+C$2*K96+C$2*M96)*(1+L96)</f>
        <v>684.6105</v>
      </c>
      <c r="D96" s="2">
        <v>4</v>
      </c>
      <c r="E96" s="2">
        <v>1</v>
      </c>
      <c r="F96" s="2">
        <v>1</v>
      </c>
      <c r="G96" s="2">
        <f>SUMIFS($S$2:$S$10,$R$2:$R$10,D96)</f>
        <v>7</v>
      </c>
      <c r="H96" s="2">
        <f>SUMIFS($S$2:$S$10,$R$2:$R$10,E96)</f>
        <v>1</v>
      </c>
      <c r="I96" s="2">
        <f>SUMIFS($S$2:$S$10,$R$2:$R$10,F96)</f>
        <v>1</v>
      </c>
      <c r="J96" s="2">
        <f>SUM(G96:I96)</f>
        <v>9</v>
      </c>
      <c r="K96" s="2">
        <f>SUMIFS($U$2:$U$10,$R$2:$R$10,E96)</f>
        <v>0.01</v>
      </c>
      <c r="L96" s="2">
        <f>SUMIFS($T$2:$T$10,$R$2:$R$10,F96)</f>
        <v>0.13</v>
      </c>
      <c r="M96" s="2">
        <f>SUMIFS($V$2:$V$10,$R$2:$R$10,D96)</f>
        <v>0.04</v>
      </c>
    </row>
    <row r="97" spans="1:13" x14ac:dyDescent="0.25">
      <c r="A97" s="2">
        <f>(A$2+A$2*K97+A$2*M97)*(1+L97)</f>
        <v>500.32</v>
      </c>
      <c r="B97" s="2">
        <f>(B$2+B$2*K97+B$2*M97)*(1+L97)</f>
        <v>581.94000000000005</v>
      </c>
      <c r="C97" s="2">
        <f>(C$2+C$2*K97+C$2*M97)*(1+L97)</f>
        <v>611.62</v>
      </c>
      <c r="D97" s="2">
        <v>4</v>
      </c>
      <c r="E97" s="2">
        <v>2</v>
      </c>
      <c r="F97" s="2">
        <v>0</v>
      </c>
      <c r="G97" s="2">
        <f>SUMIFS($S$2:$S$10,$R$2:$R$10,D97)</f>
        <v>7</v>
      </c>
      <c r="H97" s="2">
        <f>SUMIFS($S$2:$S$10,$R$2:$R$10,E97)</f>
        <v>2</v>
      </c>
      <c r="I97" s="2">
        <f>SUMIFS($S$2:$S$10,$R$2:$R$10,F97)</f>
        <v>0</v>
      </c>
      <c r="J97" s="2">
        <f>SUM(G97:I97)</f>
        <v>9</v>
      </c>
      <c r="K97" s="2">
        <f>SUMIFS($U$2:$U$10,$R$2:$R$10,E97)</f>
        <v>0.02</v>
      </c>
      <c r="L97" s="2">
        <f>SUMIFS($T$2:$T$10,$R$2:$R$10,F97)</f>
        <v>0</v>
      </c>
      <c r="M97" s="2">
        <f>SUMIFS($V$2:$V$10,$R$2:$R$10,D97)</f>
        <v>0.04</v>
      </c>
    </row>
    <row r="98" spans="1:13" x14ac:dyDescent="0.25">
      <c r="A98" s="1">
        <f>(A$2+A$2*K98+A$2*L98)*(1+M98)</f>
        <v>589.76400000000001</v>
      </c>
      <c r="B98" s="1">
        <f>(B$2+B$2*K98+B$2*L98)*(1+M98)</f>
        <v>685.97550000000001</v>
      </c>
      <c r="C98" s="1">
        <f>(C$2+C$2*K98+C$2*L98)*(1+M98)</f>
        <v>720.96149999999989</v>
      </c>
      <c r="D98" s="1">
        <v>3</v>
      </c>
      <c r="E98" s="1">
        <v>2</v>
      </c>
      <c r="F98" s="1">
        <v>3</v>
      </c>
      <c r="G98" s="1">
        <f>SUMIFS($S$2:$S$10,$R$2:$R$10,D98)</f>
        <v>4</v>
      </c>
      <c r="H98" s="1">
        <f>SUMIFS($S$2:$S$10,$R$2:$R$10,E98)</f>
        <v>2</v>
      </c>
      <c r="I98" s="1">
        <f>SUMIFS($S$2:$S$10,$R$2:$R$10,F98)</f>
        <v>4</v>
      </c>
      <c r="J98" s="1">
        <f>SUM(G98:I98)</f>
        <v>10</v>
      </c>
      <c r="K98" s="1">
        <f>SUMIFS($U$2:$U$10,$R$2:$R$10,E98)</f>
        <v>0.02</v>
      </c>
      <c r="L98" s="1">
        <f>SUMIFS($V$2:$V$10,$R$2:$R$10,F98)</f>
        <v>0.03</v>
      </c>
      <c r="M98" s="1">
        <f>SUMIFS($T$2:$T$10,$R$2:$R$10,D98)</f>
        <v>0.19</v>
      </c>
    </row>
    <row r="99" spans="1:13" x14ac:dyDescent="0.25">
      <c r="A99" s="1">
        <f>(A$2+A$2*K99+A$2*L99)*(1+M99)</f>
        <v>589.76400000000001</v>
      </c>
      <c r="B99" s="1">
        <f>(B$2+B$2*K99+B$2*L99)*(1+M99)</f>
        <v>685.97550000000001</v>
      </c>
      <c r="C99" s="1">
        <f>(C$2+C$2*K99+C$2*L99)*(1+M99)</f>
        <v>720.96149999999989</v>
      </c>
      <c r="D99" s="1">
        <v>3</v>
      </c>
      <c r="E99" s="1">
        <v>3</v>
      </c>
      <c r="F99" s="1">
        <v>2</v>
      </c>
      <c r="G99" s="1">
        <f>SUMIFS($S$2:$S$10,$R$2:$R$10,D99)</f>
        <v>4</v>
      </c>
      <c r="H99" s="1">
        <f>SUMIFS($S$2:$S$10,$R$2:$R$10,E99)</f>
        <v>4</v>
      </c>
      <c r="I99" s="1">
        <f>SUMIFS($S$2:$S$10,$R$2:$R$10,F99)</f>
        <v>2</v>
      </c>
      <c r="J99" s="1">
        <f>SUM(G99:I99)</f>
        <v>10</v>
      </c>
      <c r="K99" s="1">
        <f>SUMIFS($U$2:$U$10,$R$2:$R$10,E99)</f>
        <v>0.03</v>
      </c>
      <c r="L99" s="1">
        <f>SUMIFS($V$2:$V$10,$R$2:$R$10,F99)</f>
        <v>0.02</v>
      </c>
      <c r="M99" s="1">
        <f>SUMIFS($T$2:$T$10,$R$2:$R$10,D99)</f>
        <v>0.19</v>
      </c>
    </row>
    <row r="100" spans="1:13" x14ac:dyDescent="0.25">
      <c r="A100" s="1">
        <f>(A$2+A$2*K100+A$2*L100)*(1+M100)</f>
        <v>593.11520000000007</v>
      </c>
      <c r="B100" s="1">
        <f>(B$2+B$2*K100+B$2*L100)*(1+M100)</f>
        <v>689.87340000000006</v>
      </c>
      <c r="C100" s="1">
        <f>(C$2+C$2*K100+C$2*L100)*(1+M100)</f>
        <v>725.05819999999994</v>
      </c>
      <c r="D100" s="1">
        <v>4</v>
      </c>
      <c r="E100" s="1">
        <v>1</v>
      </c>
      <c r="F100" s="1">
        <v>2</v>
      </c>
      <c r="G100" s="1">
        <f>SUMIFS($S$2:$S$10,$R$2:$R$10,D100)</f>
        <v>7</v>
      </c>
      <c r="H100" s="1">
        <f>SUMIFS($S$2:$S$10,$R$2:$R$10,E100)</f>
        <v>1</v>
      </c>
      <c r="I100" s="1">
        <f>SUMIFS($S$2:$S$10,$R$2:$R$10,F100)</f>
        <v>2</v>
      </c>
      <c r="J100" s="1">
        <f>SUM(G100:I100)</f>
        <v>10</v>
      </c>
      <c r="K100" s="1">
        <f>SUMIFS($U$2:$U$10,$R$2:$R$10,E100)</f>
        <v>0.01</v>
      </c>
      <c r="L100" s="1">
        <f>SUMIFS($V$2:$V$10,$R$2:$R$10,F100)</f>
        <v>0.02</v>
      </c>
      <c r="M100" s="1">
        <f>SUMIFS($T$2:$T$10,$R$2:$R$10,D100)</f>
        <v>0.22</v>
      </c>
    </row>
    <row r="101" spans="1:13" x14ac:dyDescent="0.25">
      <c r="A101" s="1">
        <f>(A$2+A$2*K101+A$2*L101)*(1+M101)</f>
        <v>593.11520000000007</v>
      </c>
      <c r="B101" s="1">
        <f>(B$2+B$2*K101+B$2*L101)*(1+M101)</f>
        <v>689.87340000000006</v>
      </c>
      <c r="C101" s="1">
        <f>(C$2+C$2*K101+C$2*L101)*(1+M101)</f>
        <v>725.05819999999994</v>
      </c>
      <c r="D101" s="1">
        <v>4</v>
      </c>
      <c r="E101" s="1">
        <v>2</v>
      </c>
      <c r="F101" s="1">
        <v>1</v>
      </c>
      <c r="G101" s="1">
        <f>SUMIFS($S$2:$S$10,$R$2:$R$10,D101)</f>
        <v>7</v>
      </c>
      <c r="H101" s="1">
        <f>SUMIFS($S$2:$S$10,$R$2:$R$10,E101)</f>
        <v>2</v>
      </c>
      <c r="I101" s="1">
        <f>SUMIFS($S$2:$S$10,$R$2:$R$10,F101)</f>
        <v>1</v>
      </c>
      <c r="J101" s="1">
        <f>SUM(G101:I101)</f>
        <v>10</v>
      </c>
      <c r="K101" s="1">
        <f>SUMIFS($U$2:$U$10,$R$2:$R$10,E101)</f>
        <v>0.02</v>
      </c>
      <c r="L101" s="1">
        <f>SUMIFS($V$2:$V$10,$R$2:$R$10,F101)</f>
        <v>0.01</v>
      </c>
      <c r="M101" s="1">
        <f>SUMIFS($T$2:$T$10,$R$2:$R$10,D101)</f>
        <v>0.22</v>
      </c>
    </row>
    <row r="102" spans="1:13" x14ac:dyDescent="0.25">
      <c r="A102" s="1">
        <f>(A$2+A$2*K102+A$2*L102)*(1+M102)</f>
        <v>599.44000000000005</v>
      </c>
      <c r="B102" s="1">
        <f>(B$2+B$2*K102+B$2*L102)*(1+M102)</f>
        <v>697.23</v>
      </c>
      <c r="C102" s="1">
        <f>(C$2+C$2*K102+C$2*L102)*(1+M102)</f>
        <v>732.79</v>
      </c>
      <c r="D102" s="1">
        <v>5</v>
      </c>
      <c r="E102" s="1">
        <v>0</v>
      </c>
      <c r="F102" s="1">
        <v>0</v>
      </c>
      <c r="G102" s="1">
        <f>SUMIFS($S$2:$S$10,$R$2:$R$10,D102)</f>
        <v>10</v>
      </c>
      <c r="H102" s="1">
        <f>SUMIFS($S$2:$S$10,$R$2:$R$10,E102)</f>
        <v>0</v>
      </c>
      <c r="I102" s="1">
        <f>SUMIFS($S$2:$S$10,$R$2:$R$10,F102)</f>
        <v>0</v>
      </c>
      <c r="J102" s="1">
        <f>SUM(G102:I102)</f>
        <v>10</v>
      </c>
      <c r="K102" s="1">
        <f>SUMIFS($U$2:$U$10,$R$2:$R$10,E102)</f>
        <v>0</v>
      </c>
      <c r="L102" s="1">
        <f>SUMIFS($V$2:$V$10,$R$2:$R$10,F102)</f>
        <v>0</v>
      </c>
      <c r="M102" s="1">
        <f>SUMIFS($T$2:$T$10,$R$2:$R$10,D102)</f>
        <v>0.27</v>
      </c>
    </row>
    <row r="103" spans="1:13" x14ac:dyDescent="0.25">
      <c r="A103" s="3">
        <f>(A$2+A$2*M103+A$2*L103)*(1+K103)</f>
        <v>580.37120000000004</v>
      </c>
      <c r="B103" s="3">
        <f>(B$2+B$2*M103+B$2*L103)*(1+K103)</f>
        <v>675.05039999999997</v>
      </c>
      <c r="C103" s="3">
        <f>(C$2+C$2*M103+C$2*L103)*(1+K103)</f>
        <v>709.47919999999988</v>
      </c>
      <c r="D103" s="3">
        <v>3</v>
      </c>
      <c r="E103" s="3">
        <v>2</v>
      </c>
      <c r="F103" s="3">
        <v>3</v>
      </c>
      <c r="G103" s="3">
        <f>SUMIFS($S$2:$S$10,$R$2:$R$10,D103)</f>
        <v>4</v>
      </c>
      <c r="H103" s="3">
        <f>SUMIFS($S$2:$S$10,$R$2:$R$10,E103)</f>
        <v>2</v>
      </c>
      <c r="I103" s="3">
        <f>SUMIFS($S$2:$S$10,$R$2:$R$10,F103)</f>
        <v>4</v>
      </c>
      <c r="J103" s="3">
        <f>SUM(G103:I103)</f>
        <v>10</v>
      </c>
      <c r="K103" s="3">
        <f>SUMIFS($T$2:$T$10,$R$2:$R$10,E103)</f>
        <v>0.16</v>
      </c>
      <c r="L103" s="3">
        <f>SUMIFS($V$2:$V$10,$R$2:$R$10,F103)</f>
        <v>0.03</v>
      </c>
      <c r="M103" s="3">
        <f>SUMIFS($U$2:$U$10,$R$2:$R$10,D103)</f>
        <v>0.03</v>
      </c>
    </row>
    <row r="104" spans="1:13" x14ac:dyDescent="0.25">
      <c r="A104" s="3">
        <f>(A$2+A$2*M104+A$2*L104)*(1+K104)</f>
        <v>589.76400000000001</v>
      </c>
      <c r="B104" s="3">
        <f>(B$2+B$2*M104+B$2*L104)*(1+K104)</f>
        <v>685.97550000000001</v>
      </c>
      <c r="C104" s="3">
        <f>(C$2+C$2*M104+C$2*L104)*(1+K104)</f>
        <v>720.96149999999989</v>
      </c>
      <c r="D104" s="3">
        <v>3</v>
      </c>
      <c r="E104" s="3">
        <v>3</v>
      </c>
      <c r="F104" s="3">
        <v>2</v>
      </c>
      <c r="G104" s="3">
        <f>SUMIFS($S$2:$S$10,$R$2:$R$10,D104)</f>
        <v>4</v>
      </c>
      <c r="H104" s="3">
        <f>SUMIFS($S$2:$S$10,$R$2:$R$10,E104)</f>
        <v>4</v>
      </c>
      <c r="I104" s="3">
        <f>SUMIFS($S$2:$S$10,$R$2:$R$10,F104)</f>
        <v>2</v>
      </c>
      <c r="J104" s="3">
        <f>SUM(G104:I104)</f>
        <v>10</v>
      </c>
      <c r="K104" s="3">
        <f>SUMIFS($T$2:$T$10,$R$2:$R$10,E104)</f>
        <v>0.19</v>
      </c>
      <c r="L104" s="3">
        <f>SUMIFS($V$2:$V$10,$R$2:$R$10,F104)</f>
        <v>0.02</v>
      </c>
      <c r="M104" s="3">
        <f>SUMIFS($U$2:$U$10,$R$2:$R$10,D104)</f>
        <v>0.03</v>
      </c>
    </row>
    <row r="105" spans="1:13" x14ac:dyDescent="0.25">
      <c r="A105" s="3">
        <f>(A$2+A$2*M105+A$2*L105)*(1+K105)</f>
        <v>570.6952</v>
      </c>
      <c r="B105" s="3">
        <f>(B$2+B$2*M105+B$2*L105)*(1+K105)</f>
        <v>663.79589999999996</v>
      </c>
      <c r="C105" s="3">
        <f>(C$2+C$2*M105+C$2*L105)*(1+K105)</f>
        <v>697.65069999999992</v>
      </c>
      <c r="D105" s="3">
        <v>4</v>
      </c>
      <c r="E105" s="3">
        <v>1</v>
      </c>
      <c r="F105" s="3">
        <v>2</v>
      </c>
      <c r="G105" s="3">
        <f>SUMIFS($S$2:$S$10,$R$2:$R$10,D105)</f>
        <v>7</v>
      </c>
      <c r="H105" s="3">
        <f>SUMIFS($S$2:$S$10,$R$2:$R$10,E105)</f>
        <v>1</v>
      </c>
      <c r="I105" s="3">
        <f>SUMIFS($S$2:$S$10,$R$2:$R$10,F105)</f>
        <v>2</v>
      </c>
      <c r="J105" s="3">
        <f>SUM(G105:I105)</f>
        <v>10</v>
      </c>
      <c r="K105" s="3">
        <f>SUMIFS($T$2:$T$10,$R$2:$R$10,E105)</f>
        <v>0.13</v>
      </c>
      <c r="L105" s="3">
        <f>SUMIFS($V$2:$V$10,$R$2:$R$10,F105)</f>
        <v>0.02</v>
      </c>
      <c r="M105" s="3">
        <f>SUMIFS($U$2:$U$10,$R$2:$R$10,D105)</f>
        <v>0.05</v>
      </c>
    </row>
    <row r="106" spans="1:13" x14ac:dyDescent="0.25">
      <c r="A106" s="3">
        <f>(A$2+A$2*M106+A$2*L106)*(1+K106)</f>
        <v>580.37120000000004</v>
      </c>
      <c r="B106" s="3">
        <f>(B$2+B$2*M106+B$2*L106)*(1+K106)</f>
        <v>675.05039999999997</v>
      </c>
      <c r="C106" s="3">
        <f>(C$2+C$2*M106+C$2*L106)*(1+K106)</f>
        <v>709.47919999999999</v>
      </c>
      <c r="D106" s="3">
        <v>4</v>
      </c>
      <c r="E106" s="3">
        <v>2</v>
      </c>
      <c r="F106" s="3">
        <v>1</v>
      </c>
      <c r="G106" s="3">
        <f>SUMIFS($S$2:$S$10,$R$2:$R$10,D106)</f>
        <v>7</v>
      </c>
      <c r="H106" s="3">
        <f>SUMIFS($S$2:$S$10,$R$2:$R$10,E106)</f>
        <v>2</v>
      </c>
      <c r="I106" s="3">
        <f>SUMIFS($S$2:$S$10,$R$2:$R$10,F106)</f>
        <v>1</v>
      </c>
      <c r="J106" s="3">
        <f>SUM(G106:I106)</f>
        <v>10</v>
      </c>
      <c r="K106" s="3">
        <f>SUMIFS($T$2:$T$10,$R$2:$R$10,E106)</f>
        <v>0.16</v>
      </c>
      <c r="L106" s="3">
        <f>SUMIFS($V$2:$V$10,$R$2:$R$10,F106)</f>
        <v>0.01</v>
      </c>
      <c r="M106" s="3">
        <f>SUMIFS($U$2:$U$10,$R$2:$R$10,D106)</f>
        <v>0.05</v>
      </c>
    </row>
    <row r="107" spans="1:13" x14ac:dyDescent="0.25">
      <c r="A107" s="3">
        <f>(A$2+A$2*M107+A$2*L107)*(1+K107)</f>
        <v>505.04</v>
      </c>
      <c r="B107" s="3">
        <f>(B$2+B$2*M107+B$2*L107)*(1+K107)</f>
        <v>587.43000000000006</v>
      </c>
      <c r="C107" s="3">
        <f>(C$2+C$2*M107+C$2*L107)*(1+K107)</f>
        <v>617.39</v>
      </c>
      <c r="D107" s="3">
        <v>5</v>
      </c>
      <c r="E107" s="3">
        <v>0</v>
      </c>
      <c r="F107" s="3">
        <v>0</v>
      </c>
      <c r="G107" s="3">
        <f>SUMIFS($S$2:$S$10,$R$2:$R$10,D107)</f>
        <v>10</v>
      </c>
      <c r="H107" s="3">
        <f>SUMIFS($S$2:$S$10,$R$2:$R$10,E107)</f>
        <v>0</v>
      </c>
      <c r="I107" s="3">
        <f>SUMIFS($S$2:$S$10,$R$2:$R$10,F107)</f>
        <v>0</v>
      </c>
      <c r="J107" s="3">
        <f>SUM(G107:I107)</f>
        <v>10</v>
      </c>
      <c r="K107" s="3">
        <f>SUMIFS($T$2:$T$10,$R$2:$R$10,E107)</f>
        <v>0</v>
      </c>
      <c r="L107" s="3">
        <f>SUMIFS($V$2:$V$10,$R$2:$R$10,F107)</f>
        <v>0</v>
      </c>
      <c r="M107" s="3">
        <f>SUMIFS($U$2:$U$10,$R$2:$R$10,D107)</f>
        <v>7.0000000000000007E-2</v>
      </c>
    </row>
    <row r="108" spans="1:13" x14ac:dyDescent="0.25">
      <c r="A108" s="2">
        <f>(A$2+A$2*K108+A$2*M108)*(1+L108)</f>
        <v>589.76400000000001</v>
      </c>
      <c r="B108" s="2">
        <f>(B$2+B$2*K108+B$2*M108)*(1+L108)</f>
        <v>685.97550000000001</v>
      </c>
      <c r="C108" s="2">
        <f>(C$2+C$2*K108+C$2*M108)*(1+L108)</f>
        <v>720.96149999999989</v>
      </c>
      <c r="D108" s="2">
        <v>3</v>
      </c>
      <c r="E108" s="2">
        <v>2</v>
      </c>
      <c r="F108" s="2">
        <v>3</v>
      </c>
      <c r="G108" s="2">
        <f>SUMIFS($S$2:$S$10,$R$2:$R$10,D108)</f>
        <v>4</v>
      </c>
      <c r="H108" s="2">
        <f>SUMIFS($S$2:$S$10,$R$2:$R$10,E108)</f>
        <v>2</v>
      </c>
      <c r="I108" s="2">
        <f>SUMIFS($S$2:$S$10,$R$2:$R$10,F108)</f>
        <v>4</v>
      </c>
      <c r="J108" s="2">
        <f>SUM(G108:I108)</f>
        <v>10</v>
      </c>
      <c r="K108" s="2">
        <f>SUMIFS($U$2:$U$10,$R$2:$R$10,E108)</f>
        <v>0.02</v>
      </c>
      <c r="L108" s="2">
        <f>SUMIFS($T$2:$T$10,$R$2:$R$10,F108)</f>
        <v>0.19</v>
      </c>
      <c r="M108" s="2">
        <f>SUMIFS($V$2:$V$10,$R$2:$R$10,D108)</f>
        <v>0.03</v>
      </c>
    </row>
    <row r="109" spans="1:13" x14ac:dyDescent="0.25">
      <c r="A109" s="2">
        <f>(A$2+A$2*K109+A$2*M109)*(1+L109)</f>
        <v>580.37120000000004</v>
      </c>
      <c r="B109" s="2">
        <f>(B$2+B$2*K109+B$2*M109)*(1+L109)</f>
        <v>675.05039999999997</v>
      </c>
      <c r="C109" s="2">
        <f>(C$2+C$2*K109+C$2*M109)*(1+L109)</f>
        <v>709.47919999999988</v>
      </c>
      <c r="D109" s="2">
        <v>3</v>
      </c>
      <c r="E109" s="2">
        <v>3</v>
      </c>
      <c r="F109" s="2">
        <v>2</v>
      </c>
      <c r="G109" s="2">
        <f>SUMIFS($S$2:$S$10,$R$2:$R$10,D109)</f>
        <v>4</v>
      </c>
      <c r="H109" s="2">
        <f>SUMIFS($S$2:$S$10,$R$2:$R$10,E109)</f>
        <v>4</v>
      </c>
      <c r="I109" s="2">
        <f>SUMIFS($S$2:$S$10,$R$2:$R$10,F109)</f>
        <v>2</v>
      </c>
      <c r="J109" s="2">
        <f>SUM(G109:I109)</f>
        <v>10</v>
      </c>
      <c r="K109" s="2">
        <f>SUMIFS($U$2:$U$10,$R$2:$R$10,E109)</f>
        <v>0.03</v>
      </c>
      <c r="L109" s="2">
        <f>SUMIFS($T$2:$T$10,$R$2:$R$10,F109)</f>
        <v>0.16</v>
      </c>
      <c r="M109" s="2">
        <f>SUMIFS($V$2:$V$10,$R$2:$R$10,D109)</f>
        <v>0.03</v>
      </c>
    </row>
    <row r="110" spans="1:13" x14ac:dyDescent="0.25">
      <c r="A110" s="2">
        <f>(A$2+A$2*K110+A$2*M110)*(1+L110)</f>
        <v>574.89599999999996</v>
      </c>
      <c r="B110" s="2">
        <f>(B$2+B$2*K110+B$2*M110)*(1+L110)</f>
        <v>668.68200000000002</v>
      </c>
      <c r="C110" s="2">
        <f>(C$2+C$2*K110+C$2*M110)*(1+L110)</f>
        <v>702.78599999999994</v>
      </c>
      <c r="D110" s="2">
        <v>4</v>
      </c>
      <c r="E110" s="2">
        <v>1</v>
      </c>
      <c r="F110" s="2">
        <v>2</v>
      </c>
      <c r="G110" s="2">
        <f>SUMIFS($S$2:$S$10,$R$2:$R$10,D110)</f>
        <v>7</v>
      </c>
      <c r="H110" s="2">
        <f>SUMIFS($S$2:$S$10,$R$2:$R$10,E110)</f>
        <v>1</v>
      </c>
      <c r="I110" s="2">
        <f>SUMIFS($S$2:$S$10,$R$2:$R$10,F110)</f>
        <v>2</v>
      </c>
      <c r="J110" s="2">
        <f>SUM(G110:I110)</f>
        <v>10</v>
      </c>
      <c r="K110" s="2">
        <f>SUMIFS($U$2:$U$10,$R$2:$R$10,E110)</f>
        <v>0.01</v>
      </c>
      <c r="L110" s="2">
        <f>SUMIFS($T$2:$T$10,$R$2:$R$10,F110)</f>
        <v>0.16</v>
      </c>
      <c r="M110" s="2">
        <f>SUMIFS($V$2:$V$10,$R$2:$R$10,D110)</f>
        <v>0.04</v>
      </c>
    </row>
    <row r="111" spans="1:13" x14ac:dyDescent="0.25">
      <c r="A111" s="2">
        <f>(A$2+A$2*K111+A$2*M111)*(1+L111)</f>
        <v>565.36159999999995</v>
      </c>
      <c r="B111" s="2">
        <f>(B$2+B$2*K111+B$2*M111)*(1+L111)</f>
        <v>657.59220000000005</v>
      </c>
      <c r="C111" s="2">
        <f>(C$2+C$2*K111+C$2*M111)*(1+L111)</f>
        <v>691.13059999999996</v>
      </c>
      <c r="D111" s="2">
        <v>4</v>
      </c>
      <c r="E111" s="2">
        <v>2</v>
      </c>
      <c r="F111" s="2">
        <v>1</v>
      </c>
      <c r="G111" s="2">
        <f>SUMIFS($S$2:$S$10,$R$2:$R$10,D111)</f>
        <v>7</v>
      </c>
      <c r="H111" s="2">
        <f>SUMIFS($S$2:$S$10,$R$2:$R$10,E111)</f>
        <v>2</v>
      </c>
      <c r="I111" s="2">
        <f>SUMIFS($S$2:$S$10,$R$2:$R$10,F111)</f>
        <v>1</v>
      </c>
      <c r="J111" s="2">
        <f>SUM(G111:I111)</f>
        <v>10</v>
      </c>
      <c r="K111" s="2">
        <f>SUMIFS($U$2:$U$10,$R$2:$R$10,E111)</f>
        <v>0.02</v>
      </c>
      <c r="L111" s="2">
        <f>SUMIFS($T$2:$T$10,$R$2:$R$10,F111)</f>
        <v>0.13</v>
      </c>
      <c r="M111" s="2">
        <f>SUMIFS($V$2:$V$10,$R$2:$R$10,D111)</f>
        <v>0.04</v>
      </c>
    </row>
    <row r="112" spans="1:13" x14ac:dyDescent="0.25">
      <c r="A112" s="2">
        <f>(A$2+A$2*K112+A$2*M112)*(1+L112)</f>
        <v>495.6</v>
      </c>
      <c r="B112" s="2">
        <f>(B$2+B$2*K112+B$2*M112)*(1+L112)</f>
        <v>576.45000000000005</v>
      </c>
      <c r="C112" s="2">
        <f>(C$2+C$2*K112+C$2*M112)*(1+L112)</f>
        <v>605.85</v>
      </c>
      <c r="D112" s="2">
        <v>5</v>
      </c>
      <c r="E112" s="2">
        <v>0</v>
      </c>
      <c r="F112" s="2">
        <v>0</v>
      </c>
      <c r="G112" s="2">
        <f>SUMIFS($S$2:$S$10,$R$2:$R$10,D112)</f>
        <v>10</v>
      </c>
      <c r="H112" s="2">
        <f>SUMIFS($S$2:$S$10,$R$2:$R$10,E112)</f>
        <v>0</v>
      </c>
      <c r="I112" s="2">
        <f>SUMIFS($S$2:$S$10,$R$2:$R$10,F112)</f>
        <v>0</v>
      </c>
      <c r="J112" s="2">
        <f>SUM(G112:I112)</f>
        <v>10</v>
      </c>
      <c r="K112" s="2">
        <f>SUMIFS($U$2:$U$10,$R$2:$R$10,E112)</f>
        <v>0</v>
      </c>
      <c r="L112" s="2">
        <f>SUMIFS($T$2:$T$10,$R$2:$R$10,F112)</f>
        <v>0</v>
      </c>
      <c r="M112" s="2">
        <f>SUMIFS($V$2:$V$10,$R$2:$R$10,D112)</f>
        <v>0.05</v>
      </c>
    </row>
    <row r="113" spans="1:13" x14ac:dyDescent="0.25">
      <c r="A113" s="1">
        <f>(A$2+A$2*K113+A$2*L113)*(1+M113)</f>
        <v>593.11520000000007</v>
      </c>
      <c r="B113" s="1">
        <f>(B$2+B$2*K113+B$2*L113)*(1+M113)</f>
        <v>689.87340000000006</v>
      </c>
      <c r="C113" s="1">
        <f>(C$2+C$2*K113+C$2*L113)*(1+M113)</f>
        <v>725.05819999999994</v>
      </c>
      <c r="D113" s="1">
        <v>4</v>
      </c>
      <c r="E113" s="1">
        <v>0</v>
      </c>
      <c r="F113" s="1">
        <v>3</v>
      </c>
      <c r="G113" s="1">
        <f>SUMIFS($S$2:$S$10,$R$2:$R$10,D113)</f>
        <v>7</v>
      </c>
      <c r="H113" s="1">
        <f>SUMIFS($S$2:$S$10,$R$2:$R$10,E113)</f>
        <v>0</v>
      </c>
      <c r="I113" s="1">
        <f>SUMIFS($S$2:$S$10,$R$2:$R$10,F113)</f>
        <v>4</v>
      </c>
      <c r="J113" s="1">
        <f>SUM(G113:I113)</f>
        <v>11</v>
      </c>
      <c r="K113" s="1">
        <f>SUMIFS($U$2:$U$10,$R$2:$R$10,E113)</f>
        <v>0</v>
      </c>
      <c r="L113" s="1">
        <f>SUMIFS($V$2:$V$10,$R$2:$R$10,F113)</f>
        <v>0.03</v>
      </c>
      <c r="M113" s="1">
        <f>SUMIFS($T$2:$T$10,$R$2:$R$10,D113)</f>
        <v>0.22</v>
      </c>
    </row>
    <row r="114" spans="1:13" x14ac:dyDescent="0.25">
      <c r="A114" s="1">
        <f>(A$2+A$2*K114+A$2*L114)*(1+M114)</f>
        <v>598.87360000000001</v>
      </c>
      <c r="B114" s="1">
        <f>(B$2+B$2*K114+B$2*L114)*(1+M114)</f>
        <v>696.57119999999998</v>
      </c>
      <c r="C114" s="1">
        <f>(C$2+C$2*K114+C$2*L114)*(1+M114)</f>
        <v>732.09759999999994</v>
      </c>
      <c r="D114" s="1">
        <v>4</v>
      </c>
      <c r="E114" s="1">
        <v>2</v>
      </c>
      <c r="F114" s="1">
        <v>2</v>
      </c>
      <c r="G114" s="1">
        <f>SUMIFS($S$2:$S$10,$R$2:$R$10,D114)</f>
        <v>7</v>
      </c>
      <c r="H114" s="1">
        <f>SUMIFS($S$2:$S$10,$R$2:$R$10,E114)</f>
        <v>2</v>
      </c>
      <c r="I114" s="1">
        <f>SUMIFS($S$2:$S$10,$R$2:$R$10,F114)</f>
        <v>2</v>
      </c>
      <c r="J114" s="1">
        <f>SUM(G114:I114)</f>
        <v>11</v>
      </c>
      <c r="K114" s="1">
        <f>SUMIFS($U$2:$U$10,$R$2:$R$10,E114)</f>
        <v>0.02</v>
      </c>
      <c r="L114" s="1">
        <f>SUMIFS($V$2:$V$10,$R$2:$R$10,F114)</f>
        <v>0.02</v>
      </c>
      <c r="M114" s="1">
        <f>SUMIFS($T$2:$T$10,$R$2:$R$10,D114)</f>
        <v>0.22</v>
      </c>
    </row>
    <row r="115" spans="1:13" x14ac:dyDescent="0.25">
      <c r="A115" s="1">
        <f>(A$2+A$2*K115+A$2*L115)*(1+M115)</f>
        <v>593.11520000000007</v>
      </c>
      <c r="B115" s="1">
        <f>(B$2+B$2*K115+B$2*L115)*(1+M115)</f>
        <v>689.87340000000006</v>
      </c>
      <c r="C115" s="1">
        <f>(C$2+C$2*K115+C$2*L115)*(1+M115)</f>
        <v>725.05819999999994</v>
      </c>
      <c r="D115" s="1">
        <v>4</v>
      </c>
      <c r="E115" s="1">
        <v>3</v>
      </c>
      <c r="F115" s="1">
        <v>0</v>
      </c>
      <c r="G115" s="1">
        <f>SUMIFS($S$2:$S$10,$R$2:$R$10,D115)</f>
        <v>7</v>
      </c>
      <c r="H115" s="1">
        <f>SUMIFS($S$2:$S$10,$R$2:$R$10,E115)</f>
        <v>4</v>
      </c>
      <c r="I115" s="1">
        <f>SUMIFS($S$2:$S$10,$R$2:$R$10,F115)</f>
        <v>0</v>
      </c>
      <c r="J115" s="1">
        <f>SUM(G115:I115)</f>
        <v>11</v>
      </c>
      <c r="K115" s="1">
        <f>SUMIFS($U$2:$U$10,$R$2:$R$10,E115)</f>
        <v>0.03</v>
      </c>
      <c r="L115" s="1">
        <f>SUMIFS($V$2:$V$10,$R$2:$R$10,F115)</f>
        <v>0</v>
      </c>
      <c r="M115" s="1">
        <f>SUMIFS($T$2:$T$10,$R$2:$R$10,D115)</f>
        <v>0.22</v>
      </c>
    </row>
    <row r="116" spans="1:13" x14ac:dyDescent="0.25">
      <c r="A116" s="1">
        <f>(A$2+A$2*K116+A$2*L116)*(1+M116)</f>
        <v>605.4344000000001</v>
      </c>
      <c r="B116" s="1">
        <f>(B$2+B$2*K116+B$2*L116)*(1+M116)</f>
        <v>704.20230000000004</v>
      </c>
      <c r="C116" s="1">
        <f>(C$2+C$2*K116+C$2*L116)*(1+M116)</f>
        <v>740.11789999999996</v>
      </c>
      <c r="D116" s="1">
        <v>5</v>
      </c>
      <c r="E116" s="1">
        <v>0</v>
      </c>
      <c r="F116" s="1">
        <v>1</v>
      </c>
      <c r="G116" s="1">
        <f>SUMIFS($S$2:$S$10,$R$2:$R$10,D116)</f>
        <v>10</v>
      </c>
      <c r="H116" s="1">
        <f>SUMIFS($S$2:$S$10,$R$2:$R$10,E116)</f>
        <v>0</v>
      </c>
      <c r="I116" s="1">
        <f>SUMIFS($S$2:$S$10,$R$2:$R$10,F116)</f>
        <v>1</v>
      </c>
      <c r="J116" s="1">
        <f>SUM(G116:I116)</f>
        <v>11</v>
      </c>
      <c r="K116" s="1">
        <f>SUMIFS($U$2:$U$10,$R$2:$R$10,E116)</f>
        <v>0</v>
      </c>
      <c r="L116" s="1">
        <f>SUMIFS($V$2:$V$10,$R$2:$R$10,F116)</f>
        <v>0.01</v>
      </c>
      <c r="M116" s="1">
        <f>SUMIFS($T$2:$T$10,$R$2:$R$10,D116)</f>
        <v>0.27</v>
      </c>
    </row>
    <row r="117" spans="1:13" x14ac:dyDescent="0.25">
      <c r="A117" s="1">
        <f>(A$2+A$2*K117+A$2*L117)*(1+M117)</f>
        <v>605.4344000000001</v>
      </c>
      <c r="B117" s="1">
        <f>(B$2+B$2*K117+B$2*L117)*(1+M117)</f>
        <v>704.20230000000004</v>
      </c>
      <c r="C117" s="1">
        <f>(C$2+C$2*K117+C$2*L117)*(1+M117)</f>
        <v>740.11789999999996</v>
      </c>
      <c r="D117" s="1">
        <v>5</v>
      </c>
      <c r="E117" s="1">
        <v>1</v>
      </c>
      <c r="F117" s="1">
        <v>0</v>
      </c>
      <c r="G117" s="1">
        <f>SUMIFS($S$2:$S$10,$R$2:$R$10,D117)</f>
        <v>10</v>
      </c>
      <c r="H117" s="1">
        <f>SUMIFS($S$2:$S$10,$R$2:$R$10,E117)</f>
        <v>1</v>
      </c>
      <c r="I117" s="1">
        <f>SUMIFS($S$2:$S$10,$R$2:$R$10,F117)</f>
        <v>0</v>
      </c>
      <c r="J117" s="1">
        <f>SUM(G117:I117)</f>
        <v>11</v>
      </c>
      <c r="K117" s="1">
        <f>SUMIFS($U$2:$U$10,$R$2:$R$10,E117)</f>
        <v>0.01</v>
      </c>
      <c r="L117" s="1">
        <f>SUMIFS($V$2:$V$10,$R$2:$R$10,F117)</f>
        <v>0</v>
      </c>
      <c r="M117" s="1">
        <f>SUMIFS($T$2:$T$10,$R$2:$R$10,D117)</f>
        <v>0.27</v>
      </c>
    </row>
    <row r="118" spans="1:13" x14ac:dyDescent="0.25">
      <c r="A118" s="3">
        <f>(A$2+A$2*M118+A$2*L118)*(1+K118)</f>
        <v>509.76000000000005</v>
      </c>
      <c r="B118" s="3">
        <f>(B$2+B$2*M118+B$2*L118)*(1+K118)</f>
        <v>592.92000000000007</v>
      </c>
      <c r="C118" s="3">
        <f>(C$2+C$2*M118+C$2*L118)*(1+K118)</f>
        <v>623.16</v>
      </c>
      <c r="D118" s="3">
        <v>4</v>
      </c>
      <c r="E118" s="3">
        <v>0</v>
      </c>
      <c r="F118" s="3">
        <v>3</v>
      </c>
      <c r="G118" s="3">
        <f>SUMIFS($S$2:$S$10,$R$2:$R$10,D118)</f>
        <v>7</v>
      </c>
      <c r="H118" s="3">
        <f>SUMIFS($S$2:$S$10,$R$2:$R$10,E118)</f>
        <v>0</v>
      </c>
      <c r="I118" s="3">
        <f>SUMIFS($S$2:$S$10,$R$2:$R$10,F118)</f>
        <v>4</v>
      </c>
      <c r="J118" s="3">
        <f>SUM(G118:I118)</f>
        <v>11</v>
      </c>
      <c r="K118" s="3">
        <f>SUMIFS($T$2:$T$10,$R$2:$R$10,E118)</f>
        <v>0</v>
      </c>
      <c r="L118" s="3">
        <f>SUMIFS($V$2:$V$10,$R$2:$R$10,F118)</f>
        <v>0.03</v>
      </c>
      <c r="M118" s="3">
        <f>SUMIFS($U$2:$U$10,$R$2:$R$10,D118)</f>
        <v>0.05</v>
      </c>
    </row>
    <row r="119" spans="1:13" x14ac:dyDescent="0.25">
      <c r="A119" s="3">
        <f>(A$2+A$2*M119+A$2*L119)*(1+K119)</f>
        <v>585.84640000000002</v>
      </c>
      <c r="B119" s="3">
        <f>(B$2+B$2*M119+B$2*L119)*(1+K119)</f>
        <v>681.41880000000003</v>
      </c>
      <c r="C119" s="3">
        <f>(C$2+C$2*M119+C$2*L119)*(1+K119)</f>
        <v>716.17239999999993</v>
      </c>
      <c r="D119" s="3">
        <v>4</v>
      </c>
      <c r="E119" s="3">
        <v>2</v>
      </c>
      <c r="F119" s="3">
        <v>2</v>
      </c>
      <c r="G119" s="3">
        <f>SUMIFS($S$2:$S$10,$R$2:$R$10,D119)</f>
        <v>7</v>
      </c>
      <c r="H119" s="3">
        <f>SUMIFS($S$2:$S$10,$R$2:$R$10,E119)</f>
        <v>2</v>
      </c>
      <c r="I119" s="3">
        <f>SUMIFS($S$2:$S$10,$R$2:$R$10,F119)</f>
        <v>2</v>
      </c>
      <c r="J119" s="3">
        <f>SUM(G119:I119)</f>
        <v>11</v>
      </c>
      <c r="K119" s="3">
        <f>SUMIFS($T$2:$T$10,$R$2:$R$10,E119)</f>
        <v>0.16</v>
      </c>
      <c r="L119" s="3">
        <f>SUMIFS($V$2:$V$10,$R$2:$R$10,F119)</f>
        <v>0.02</v>
      </c>
      <c r="M119" s="3">
        <f>SUMIFS($U$2:$U$10,$R$2:$R$10,D119)</f>
        <v>0.05</v>
      </c>
    </row>
    <row r="120" spans="1:13" x14ac:dyDescent="0.25">
      <c r="A120" s="3">
        <f>(A$2+A$2*M120+A$2*L120)*(1+K120)</f>
        <v>589.76400000000001</v>
      </c>
      <c r="B120" s="3">
        <f>(B$2+B$2*M120+B$2*L120)*(1+K120)</f>
        <v>685.97550000000001</v>
      </c>
      <c r="C120" s="3">
        <f>(C$2+C$2*M120+C$2*L120)*(1+K120)</f>
        <v>720.9615</v>
      </c>
      <c r="D120" s="3">
        <v>4</v>
      </c>
      <c r="E120" s="3">
        <v>3</v>
      </c>
      <c r="F120" s="3">
        <v>0</v>
      </c>
      <c r="G120" s="3">
        <f>SUMIFS($S$2:$S$10,$R$2:$R$10,D120)</f>
        <v>7</v>
      </c>
      <c r="H120" s="3">
        <f>SUMIFS($S$2:$S$10,$R$2:$R$10,E120)</f>
        <v>4</v>
      </c>
      <c r="I120" s="3">
        <f>SUMIFS($S$2:$S$10,$R$2:$R$10,F120)</f>
        <v>0</v>
      </c>
      <c r="J120" s="3">
        <f>SUM(G120:I120)</f>
        <v>11</v>
      </c>
      <c r="K120" s="3">
        <f>SUMIFS($T$2:$T$10,$R$2:$R$10,E120)</f>
        <v>0.19</v>
      </c>
      <c r="L120" s="3">
        <f>SUMIFS($V$2:$V$10,$R$2:$R$10,F120)</f>
        <v>0</v>
      </c>
      <c r="M120" s="3">
        <f>SUMIFS($U$2:$U$10,$R$2:$R$10,D120)</f>
        <v>0.05</v>
      </c>
    </row>
    <row r="121" spans="1:13" x14ac:dyDescent="0.25">
      <c r="A121" s="3">
        <f>(A$2+A$2*M121+A$2*L121)*(1+K121)</f>
        <v>509.76000000000005</v>
      </c>
      <c r="B121" s="3">
        <f>(B$2+B$2*M121+B$2*L121)*(1+K121)</f>
        <v>592.92000000000007</v>
      </c>
      <c r="C121" s="3">
        <f>(C$2+C$2*M121+C$2*L121)*(1+K121)</f>
        <v>623.16</v>
      </c>
      <c r="D121" s="3">
        <v>5</v>
      </c>
      <c r="E121" s="3">
        <v>0</v>
      </c>
      <c r="F121" s="3">
        <v>1</v>
      </c>
      <c r="G121" s="3">
        <f>SUMIFS($S$2:$S$10,$R$2:$R$10,D121)</f>
        <v>10</v>
      </c>
      <c r="H121" s="3">
        <f>SUMIFS($S$2:$S$10,$R$2:$R$10,E121)</f>
        <v>0</v>
      </c>
      <c r="I121" s="3">
        <f>SUMIFS($S$2:$S$10,$R$2:$R$10,F121)</f>
        <v>1</v>
      </c>
      <c r="J121" s="3">
        <f>SUM(G121:I121)</f>
        <v>11</v>
      </c>
      <c r="K121" s="3">
        <f>SUMIFS($T$2:$T$10,$R$2:$R$10,E121)</f>
        <v>0</v>
      </c>
      <c r="L121" s="3">
        <f>SUMIFS($V$2:$V$10,$R$2:$R$10,F121)</f>
        <v>0.01</v>
      </c>
      <c r="M121" s="3">
        <f>SUMIFS($U$2:$U$10,$R$2:$R$10,D121)</f>
        <v>7.0000000000000007E-2</v>
      </c>
    </row>
    <row r="122" spans="1:13" x14ac:dyDescent="0.25">
      <c r="A122" s="3">
        <f>(A$2+A$2*M122+A$2*L122)*(1+K122)</f>
        <v>570.6952</v>
      </c>
      <c r="B122" s="3">
        <f>(B$2+B$2*M122+B$2*L122)*(1+K122)</f>
        <v>663.79589999999996</v>
      </c>
      <c r="C122" s="3">
        <f>(C$2+C$2*M122+C$2*L122)*(1+K122)</f>
        <v>697.65069999999992</v>
      </c>
      <c r="D122" s="3">
        <v>5</v>
      </c>
      <c r="E122" s="3">
        <v>1</v>
      </c>
      <c r="F122" s="3">
        <v>0</v>
      </c>
      <c r="G122" s="3">
        <f>SUMIFS($S$2:$S$10,$R$2:$R$10,D122)</f>
        <v>10</v>
      </c>
      <c r="H122" s="3">
        <f>SUMIFS($S$2:$S$10,$R$2:$R$10,E122)</f>
        <v>1</v>
      </c>
      <c r="I122" s="3">
        <f>SUMIFS($S$2:$S$10,$R$2:$R$10,F122)</f>
        <v>0</v>
      </c>
      <c r="J122" s="3">
        <f>SUM(G122:I122)</f>
        <v>11</v>
      </c>
      <c r="K122" s="3">
        <f>SUMIFS($T$2:$T$10,$R$2:$R$10,E122)</f>
        <v>0.13</v>
      </c>
      <c r="L122" s="3">
        <f>SUMIFS($V$2:$V$10,$R$2:$R$10,F122)</f>
        <v>0</v>
      </c>
      <c r="M122" s="3">
        <f>SUMIFS($U$2:$U$10,$R$2:$R$10,D122)</f>
        <v>7.0000000000000007E-2</v>
      </c>
    </row>
    <row r="123" spans="1:13" x14ac:dyDescent="0.25">
      <c r="A123" s="2">
        <f>(A$2+A$2*K123+A$2*M123)*(1+L123)</f>
        <v>584.1472</v>
      </c>
      <c r="B123" s="2">
        <f>(B$2+B$2*K123+B$2*M123)*(1+L123)</f>
        <v>679.44240000000002</v>
      </c>
      <c r="C123" s="2">
        <f>(C$2+C$2*K123+C$2*M123)*(1+L123)</f>
        <v>714.09519999999998</v>
      </c>
      <c r="D123" s="2">
        <v>4</v>
      </c>
      <c r="E123" s="2">
        <v>0</v>
      </c>
      <c r="F123" s="2">
        <v>3</v>
      </c>
      <c r="G123" s="2">
        <f>SUMIFS($S$2:$S$10,$R$2:$R$10,D123)</f>
        <v>7</v>
      </c>
      <c r="H123" s="2">
        <f>SUMIFS($S$2:$S$10,$R$2:$R$10,E123)</f>
        <v>0</v>
      </c>
      <c r="I123" s="2">
        <f>SUMIFS($S$2:$S$10,$R$2:$R$10,F123)</f>
        <v>4</v>
      </c>
      <c r="J123" s="2">
        <f>SUM(G123:I123)</f>
        <v>11</v>
      </c>
      <c r="K123" s="2">
        <f>SUMIFS($U$2:$U$10,$R$2:$R$10,E123)</f>
        <v>0</v>
      </c>
      <c r="L123" s="2">
        <f>SUMIFS($T$2:$T$10,$R$2:$R$10,F123)</f>
        <v>0.19</v>
      </c>
      <c r="M123" s="2">
        <f>SUMIFS($V$2:$V$10,$R$2:$R$10,D123)</f>
        <v>0.04</v>
      </c>
    </row>
    <row r="124" spans="1:13" x14ac:dyDescent="0.25">
      <c r="A124" s="2">
        <f>(A$2+A$2*K124+A$2*M124)*(1+L124)</f>
        <v>580.37119999999993</v>
      </c>
      <c r="B124" s="2">
        <f>(B$2+B$2*K124+B$2*M124)*(1+L124)</f>
        <v>675.05039999999997</v>
      </c>
      <c r="C124" s="2">
        <f>(C$2+C$2*K124+C$2*M124)*(1+L124)</f>
        <v>709.47919999999999</v>
      </c>
      <c r="D124" s="2">
        <v>4</v>
      </c>
      <c r="E124" s="2">
        <v>2</v>
      </c>
      <c r="F124" s="2">
        <v>2</v>
      </c>
      <c r="G124" s="2">
        <f>SUMIFS($S$2:$S$10,$R$2:$R$10,D124)</f>
        <v>7</v>
      </c>
      <c r="H124" s="2">
        <f>SUMIFS($S$2:$S$10,$R$2:$R$10,E124)</f>
        <v>2</v>
      </c>
      <c r="I124" s="2">
        <f>SUMIFS($S$2:$S$10,$R$2:$R$10,F124)</f>
        <v>2</v>
      </c>
      <c r="J124" s="2">
        <f>SUM(G124:I124)</f>
        <v>11</v>
      </c>
      <c r="K124" s="2">
        <f>SUMIFS($U$2:$U$10,$R$2:$R$10,E124)</f>
        <v>0.02</v>
      </c>
      <c r="L124" s="2">
        <f>SUMIFS($T$2:$T$10,$R$2:$R$10,F124)</f>
        <v>0.16</v>
      </c>
      <c r="M124" s="2">
        <f>SUMIFS($V$2:$V$10,$R$2:$R$10,D124)</f>
        <v>0.04</v>
      </c>
    </row>
    <row r="125" spans="1:13" x14ac:dyDescent="0.25">
      <c r="A125" s="2">
        <f>(A$2+A$2*K125+A$2*M125)*(1+L125)</f>
        <v>505.04</v>
      </c>
      <c r="B125" s="2">
        <f>(B$2+B$2*K125+B$2*M125)*(1+L125)</f>
        <v>587.43000000000006</v>
      </c>
      <c r="C125" s="2">
        <f>(C$2+C$2*K125+C$2*M125)*(1+L125)</f>
        <v>617.39</v>
      </c>
      <c r="D125" s="2">
        <v>4</v>
      </c>
      <c r="E125" s="2">
        <v>3</v>
      </c>
      <c r="F125" s="2">
        <v>0</v>
      </c>
      <c r="G125" s="2">
        <f>SUMIFS($S$2:$S$10,$R$2:$R$10,D125)</f>
        <v>7</v>
      </c>
      <c r="H125" s="2">
        <f>SUMIFS($S$2:$S$10,$R$2:$R$10,E125)</f>
        <v>4</v>
      </c>
      <c r="I125" s="2">
        <f>SUMIFS($S$2:$S$10,$R$2:$R$10,F125)</f>
        <v>0</v>
      </c>
      <c r="J125" s="2">
        <f>SUM(G125:I125)</f>
        <v>11</v>
      </c>
      <c r="K125" s="2">
        <f>SUMIFS($U$2:$U$10,$R$2:$R$10,E125)</f>
        <v>0.03</v>
      </c>
      <c r="L125" s="2">
        <f>SUMIFS($T$2:$T$10,$R$2:$R$10,F125)</f>
        <v>0</v>
      </c>
      <c r="M125" s="2">
        <f>SUMIFS($V$2:$V$10,$R$2:$R$10,D125)</f>
        <v>0.04</v>
      </c>
    </row>
    <row r="126" spans="1:13" x14ac:dyDescent="0.25">
      <c r="A126" s="2">
        <f>(A$2+A$2*K126+A$2*M126)*(1+L126)</f>
        <v>560.02800000000002</v>
      </c>
      <c r="B126" s="2">
        <f>(B$2+B$2*K126+B$2*M126)*(1+L126)</f>
        <v>651.38850000000002</v>
      </c>
      <c r="C126" s="2">
        <f>(C$2+C$2*K126+C$2*M126)*(1+L126)</f>
        <v>684.6105</v>
      </c>
      <c r="D126" s="2">
        <v>5</v>
      </c>
      <c r="E126" s="2">
        <v>0</v>
      </c>
      <c r="F126" s="2">
        <v>1</v>
      </c>
      <c r="G126" s="2">
        <f>SUMIFS($S$2:$S$10,$R$2:$R$10,D126)</f>
        <v>10</v>
      </c>
      <c r="H126" s="2">
        <f>SUMIFS($S$2:$S$10,$R$2:$R$10,E126)</f>
        <v>0</v>
      </c>
      <c r="I126" s="2">
        <f>SUMIFS($S$2:$S$10,$R$2:$R$10,F126)</f>
        <v>1</v>
      </c>
      <c r="J126" s="2">
        <f>SUM(G126:I126)</f>
        <v>11</v>
      </c>
      <c r="K126" s="2">
        <f>SUMIFS($U$2:$U$10,$R$2:$R$10,E126)</f>
        <v>0</v>
      </c>
      <c r="L126" s="2">
        <f>SUMIFS($T$2:$T$10,$R$2:$R$10,F126)</f>
        <v>0.13</v>
      </c>
      <c r="M126" s="2">
        <f>SUMIFS($V$2:$V$10,$R$2:$R$10,D126)</f>
        <v>0.05</v>
      </c>
    </row>
    <row r="127" spans="1:13" x14ac:dyDescent="0.25">
      <c r="A127" s="2">
        <f>(A$2+A$2*K127+A$2*M127)*(1+L127)</f>
        <v>500.32000000000005</v>
      </c>
      <c r="B127" s="2">
        <f>(B$2+B$2*K127+B$2*M127)*(1+L127)</f>
        <v>581.94000000000005</v>
      </c>
      <c r="C127" s="2">
        <f>(C$2+C$2*K127+C$2*M127)*(1+L127)</f>
        <v>611.62</v>
      </c>
      <c r="D127" s="2">
        <v>5</v>
      </c>
      <c r="E127" s="2">
        <v>1</v>
      </c>
      <c r="F127" s="2">
        <v>0</v>
      </c>
      <c r="G127" s="2">
        <f>SUMIFS($S$2:$S$10,$R$2:$R$10,D127)</f>
        <v>10</v>
      </c>
      <c r="H127" s="2">
        <f>SUMIFS($S$2:$S$10,$R$2:$R$10,E127)</f>
        <v>1</v>
      </c>
      <c r="I127" s="2">
        <f>SUMIFS($S$2:$S$10,$R$2:$R$10,F127)</f>
        <v>0</v>
      </c>
      <c r="J127" s="2">
        <f>SUM(G127:I127)</f>
        <v>11</v>
      </c>
      <c r="K127" s="2">
        <f>SUMIFS($U$2:$U$10,$R$2:$R$10,E127)</f>
        <v>0.01</v>
      </c>
      <c r="L127" s="2">
        <f>SUMIFS($T$2:$T$10,$R$2:$R$10,F127)</f>
        <v>0</v>
      </c>
      <c r="M127" s="2">
        <f>SUMIFS($V$2:$V$10,$R$2:$R$10,D127)</f>
        <v>0.05</v>
      </c>
    </row>
    <row r="128" spans="1:13" x14ac:dyDescent="0.25">
      <c r="A128" s="1">
        <f>(A$2+A$2*K128+A$2*L128)*(1+M128)</f>
        <v>595.38080000000002</v>
      </c>
      <c r="B128" s="1">
        <f>(B$2+B$2*K128+B$2*L128)*(1+M128)</f>
        <v>692.5086</v>
      </c>
      <c r="C128" s="1">
        <f>(C$2+C$2*K128+C$2*L128)*(1+M128)</f>
        <v>727.8277999999998</v>
      </c>
      <c r="D128" s="1">
        <v>3</v>
      </c>
      <c r="E128" s="1">
        <v>3</v>
      </c>
      <c r="F128" s="1">
        <v>3</v>
      </c>
      <c r="G128" s="1">
        <f>SUMIFS($S$2:$S$10,$R$2:$R$10,D128)</f>
        <v>4</v>
      </c>
      <c r="H128" s="1">
        <f>SUMIFS($S$2:$S$10,$R$2:$R$10,E128)</f>
        <v>4</v>
      </c>
      <c r="I128" s="1">
        <f>SUMIFS($S$2:$S$10,$R$2:$R$10,F128)</f>
        <v>4</v>
      </c>
      <c r="J128" s="1">
        <f>SUM(G128:I128)</f>
        <v>12</v>
      </c>
      <c r="K128" s="1">
        <f>SUMIFS($U$2:$U$10,$R$2:$R$10,E128)</f>
        <v>0.03</v>
      </c>
      <c r="L128" s="1">
        <f>SUMIFS($V$2:$V$10,$R$2:$R$10,F128)</f>
        <v>0.03</v>
      </c>
      <c r="M128" s="1">
        <f>SUMIFS($T$2:$T$10,$R$2:$R$10,D128)</f>
        <v>0.19</v>
      </c>
    </row>
    <row r="129" spans="1:13" x14ac:dyDescent="0.25">
      <c r="A129" s="1">
        <f>(A$2+A$2*K129+A$2*L129)*(1+M129)</f>
        <v>598.87360000000001</v>
      </c>
      <c r="B129" s="1">
        <f>(B$2+B$2*K129+B$2*L129)*(1+M129)</f>
        <v>696.57119999999998</v>
      </c>
      <c r="C129" s="1">
        <f>(C$2+C$2*K129+C$2*L129)*(1+M129)</f>
        <v>732.09759999999994</v>
      </c>
      <c r="D129" s="1">
        <v>4</v>
      </c>
      <c r="E129" s="1">
        <v>1</v>
      </c>
      <c r="F129" s="1">
        <v>3</v>
      </c>
      <c r="G129" s="1">
        <f>SUMIFS($S$2:$S$10,$R$2:$R$10,D129)</f>
        <v>7</v>
      </c>
      <c r="H129" s="1">
        <f>SUMIFS($S$2:$S$10,$R$2:$R$10,E129)</f>
        <v>1</v>
      </c>
      <c r="I129" s="1">
        <f>SUMIFS($S$2:$S$10,$R$2:$R$10,F129)</f>
        <v>4</v>
      </c>
      <c r="J129" s="1">
        <f>SUM(G129:I129)</f>
        <v>12</v>
      </c>
      <c r="K129" s="1">
        <f>SUMIFS($U$2:$U$10,$R$2:$R$10,E129)</f>
        <v>0.01</v>
      </c>
      <c r="L129" s="1">
        <f>SUMIFS($V$2:$V$10,$R$2:$R$10,F129)</f>
        <v>0.03</v>
      </c>
      <c r="M129" s="1">
        <f>SUMIFS($T$2:$T$10,$R$2:$R$10,D129)</f>
        <v>0.22</v>
      </c>
    </row>
    <row r="130" spans="1:13" x14ac:dyDescent="0.25">
      <c r="A130" s="1">
        <f>(A$2+A$2*K130+A$2*L130)*(1+M130)</f>
        <v>598.87360000000001</v>
      </c>
      <c r="B130" s="1">
        <f>(B$2+B$2*K130+B$2*L130)*(1+M130)</f>
        <v>696.57119999999998</v>
      </c>
      <c r="C130" s="1">
        <f>(C$2+C$2*K130+C$2*L130)*(1+M130)</f>
        <v>732.09759999999994</v>
      </c>
      <c r="D130" s="1">
        <v>4</v>
      </c>
      <c r="E130" s="1">
        <v>3</v>
      </c>
      <c r="F130" s="1">
        <v>1</v>
      </c>
      <c r="G130" s="1">
        <f>SUMIFS($S$2:$S$10,$R$2:$R$10,D130)</f>
        <v>7</v>
      </c>
      <c r="H130" s="1">
        <f>SUMIFS($S$2:$S$10,$R$2:$R$10,E130)</f>
        <v>4</v>
      </c>
      <c r="I130" s="1">
        <f>SUMIFS($S$2:$S$10,$R$2:$R$10,F130)</f>
        <v>1</v>
      </c>
      <c r="J130" s="1">
        <f>SUM(G130:I130)</f>
        <v>12</v>
      </c>
      <c r="K130" s="1">
        <f>SUMIFS($U$2:$U$10,$R$2:$R$10,E130)</f>
        <v>0.03</v>
      </c>
      <c r="L130" s="1">
        <f>SUMIFS($V$2:$V$10,$R$2:$R$10,F130)</f>
        <v>0.01</v>
      </c>
      <c r="M130" s="1">
        <f>SUMIFS($T$2:$T$10,$R$2:$R$10,D130)</f>
        <v>0.22</v>
      </c>
    </row>
    <row r="131" spans="1:13" x14ac:dyDescent="0.25">
      <c r="A131" s="1">
        <f>(A$2+A$2*K131+A$2*L131)*(1+M131)</f>
        <v>611.42880000000002</v>
      </c>
      <c r="B131" s="1">
        <f>(B$2+B$2*K131+B$2*L131)*(1+M131)</f>
        <v>711.17460000000005</v>
      </c>
      <c r="C131" s="1">
        <f>(C$2+C$2*K131+C$2*L131)*(1+M131)</f>
        <v>747.44579999999996</v>
      </c>
      <c r="D131" s="1">
        <v>5</v>
      </c>
      <c r="E131" s="1">
        <v>0</v>
      </c>
      <c r="F131" s="1">
        <v>2</v>
      </c>
      <c r="G131" s="1">
        <f>SUMIFS($S$2:$S$10,$R$2:$R$10,D131)</f>
        <v>10</v>
      </c>
      <c r="H131" s="1">
        <f>SUMIFS($S$2:$S$10,$R$2:$R$10,E131)</f>
        <v>0</v>
      </c>
      <c r="I131" s="1">
        <f>SUMIFS($S$2:$S$10,$R$2:$R$10,F131)</f>
        <v>2</v>
      </c>
      <c r="J131" s="1">
        <f>SUM(G131:I131)</f>
        <v>12</v>
      </c>
      <c r="K131" s="1">
        <f>SUMIFS($U$2:$U$10,$R$2:$R$10,E131)</f>
        <v>0</v>
      </c>
      <c r="L131" s="1">
        <f>SUMIFS($V$2:$V$10,$R$2:$R$10,F131)</f>
        <v>0.02</v>
      </c>
      <c r="M131" s="1">
        <f>SUMIFS($T$2:$T$10,$R$2:$R$10,D131)</f>
        <v>0.27</v>
      </c>
    </row>
    <row r="132" spans="1:13" x14ac:dyDescent="0.25">
      <c r="A132" s="1">
        <f>(A$2+A$2*K132+A$2*L132)*(1+M132)</f>
        <v>611.42880000000002</v>
      </c>
      <c r="B132" s="1">
        <f>(B$2+B$2*K132+B$2*L132)*(1+M132)</f>
        <v>711.17460000000005</v>
      </c>
      <c r="C132" s="1">
        <f>(C$2+C$2*K132+C$2*L132)*(1+M132)</f>
        <v>747.44579999999996</v>
      </c>
      <c r="D132" s="1">
        <v>5</v>
      </c>
      <c r="E132" s="1">
        <v>1</v>
      </c>
      <c r="F132" s="1">
        <v>1</v>
      </c>
      <c r="G132" s="1">
        <f>SUMIFS($S$2:$S$10,$R$2:$R$10,D132)</f>
        <v>10</v>
      </c>
      <c r="H132" s="1">
        <f>SUMIFS($S$2:$S$10,$R$2:$R$10,E132)</f>
        <v>1</v>
      </c>
      <c r="I132" s="1">
        <f>SUMIFS($S$2:$S$10,$R$2:$R$10,F132)</f>
        <v>1</v>
      </c>
      <c r="J132" s="1">
        <f>SUM(G132:I132)</f>
        <v>12</v>
      </c>
      <c r="K132" s="1">
        <f>SUMIFS($U$2:$U$10,$R$2:$R$10,E132)</f>
        <v>0.01</v>
      </c>
      <c r="L132" s="1">
        <f>SUMIFS($V$2:$V$10,$R$2:$R$10,F132)</f>
        <v>0.01</v>
      </c>
      <c r="M132" s="1">
        <f>SUMIFS($T$2:$T$10,$R$2:$R$10,D132)</f>
        <v>0.27</v>
      </c>
    </row>
    <row r="133" spans="1:13" x14ac:dyDescent="0.25">
      <c r="A133" s="1">
        <f>(A$2+A$2*K133+A$2*L133)*(1+M133)</f>
        <v>611.42880000000002</v>
      </c>
      <c r="B133" s="1">
        <f>(B$2+B$2*K133+B$2*L133)*(1+M133)</f>
        <v>711.17460000000005</v>
      </c>
      <c r="C133" s="1">
        <f>(C$2+C$2*K133+C$2*L133)*(1+M133)</f>
        <v>747.44579999999996</v>
      </c>
      <c r="D133" s="1">
        <v>5</v>
      </c>
      <c r="E133" s="1">
        <v>2</v>
      </c>
      <c r="F133" s="1">
        <v>0</v>
      </c>
      <c r="G133" s="1">
        <f>SUMIFS($S$2:$S$10,$R$2:$R$10,D133)</f>
        <v>10</v>
      </c>
      <c r="H133" s="1">
        <f>SUMIFS($S$2:$S$10,$R$2:$R$10,E133)</f>
        <v>2</v>
      </c>
      <c r="I133" s="1">
        <f>SUMIFS($S$2:$S$10,$R$2:$R$10,F133)</f>
        <v>0</v>
      </c>
      <c r="J133" s="1">
        <f>SUM(G133:I133)</f>
        <v>12</v>
      </c>
      <c r="K133" s="1">
        <f>SUMIFS($U$2:$U$10,$R$2:$R$10,E133)</f>
        <v>0.02</v>
      </c>
      <c r="L133" s="1">
        <f>SUMIFS($V$2:$V$10,$R$2:$R$10,F133)</f>
        <v>0</v>
      </c>
      <c r="M133" s="1">
        <f>SUMIFS($T$2:$T$10,$R$2:$R$10,D133)</f>
        <v>0.27</v>
      </c>
    </row>
    <row r="134" spans="1:13" x14ac:dyDescent="0.25">
      <c r="A134" s="3">
        <f>(A$2+A$2*M134+A$2*L134)*(1+K134)</f>
        <v>595.38080000000002</v>
      </c>
      <c r="B134" s="3">
        <f>(B$2+B$2*M134+B$2*L134)*(1+K134)</f>
        <v>692.5086</v>
      </c>
      <c r="C134" s="3">
        <f>(C$2+C$2*M134+C$2*L134)*(1+K134)</f>
        <v>727.8277999999998</v>
      </c>
      <c r="D134" s="3">
        <v>3</v>
      </c>
      <c r="E134" s="3">
        <v>3</v>
      </c>
      <c r="F134" s="3">
        <v>3</v>
      </c>
      <c r="G134" s="3">
        <f>SUMIFS($S$2:$S$10,$R$2:$R$10,D134)</f>
        <v>4</v>
      </c>
      <c r="H134" s="3">
        <f>SUMIFS($S$2:$S$10,$R$2:$R$10,E134)</f>
        <v>4</v>
      </c>
      <c r="I134" s="3">
        <f>SUMIFS($S$2:$S$10,$R$2:$R$10,F134)</f>
        <v>4</v>
      </c>
      <c r="J134" s="3">
        <f>SUM(G134:I134)</f>
        <v>12</v>
      </c>
      <c r="K134" s="3">
        <f>SUMIFS($T$2:$T$10,$R$2:$R$10,E134)</f>
        <v>0.19</v>
      </c>
      <c r="L134" s="3">
        <f>SUMIFS($V$2:$V$10,$R$2:$R$10,F134)</f>
        <v>0.03</v>
      </c>
      <c r="M134" s="3">
        <f>SUMIFS($U$2:$U$10,$R$2:$R$10,D134)</f>
        <v>0.03</v>
      </c>
    </row>
    <row r="135" spans="1:13" x14ac:dyDescent="0.25">
      <c r="A135" s="3">
        <f>(A$2+A$2*M135+A$2*L135)*(1+K135)</f>
        <v>576.02880000000005</v>
      </c>
      <c r="B135" s="3">
        <f>(B$2+B$2*M135+B$2*L135)*(1+K135)</f>
        <v>669.99959999999999</v>
      </c>
      <c r="C135" s="3">
        <f>(C$2+C$2*M135+C$2*L135)*(1+K135)</f>
        <v>704.17079999999987</v>
      </c>
      <c r="D135" s="3">
        <v>4</v>
      </c>
      <c r="E135" s="3">
        <v>1</v>
      </c>
      <c r="F135" s="3">
        <v>3</v>
      </c>
      <c r="G135" s="3">
        <f>SUMIFS($S$2:$S$10,$R$2:$R$10,D135)</f>
        <v>7</v>
      </c>
      <c r="H135" s="3">
        <f>SUMIFS($S$2:$S$10,$R$2:$R$10,E135)</f>
        <v>1</v>
      </c>
      <c r="I135" s="3">
        <f>SUMIFS($S$2:$S$10,$R$2:$R$10,F135)</f>
        <v>4</v>
      </c>
      <c r="J135" s="3">
        <f>SUM(G135:I135)</f>
        <v>12</v>
      </c>
      <c r="K135" s="3">
        <f>SUMIFS($T$2:$T$10,$R$2:$R$10,E135)</f>
        <v>0.13</v>
      </c>
      <c r="L135" s="3">
        <f>SUMIFS($V$2:$V$10,$R$2:$R$10,F135)</f>
        <v>0.03</v>
      </c>
      <c r="M135" s="3">
        <f>SUMIFS($U$2:$U$10,$R$2:$R$10,D135)</f>
        <v>0.05</v>
      </c>
    </row>
    <row r="136" spans="1:13" x14ac:dyDescent="0.25">
      <c r="A136" s="3">
        <f>(A$2+A$2*M136+A$2*L136)*(1+K136)</f>
        <v>595.38080000000002</v>
      </c>
      <c r="B136" s="3">
        <f>(B$2+B$2*M136+B$2*L136)*(1+K136)</f>
        <v>692.5086</v>
      </c>
      <c r="C136" s="3">
        <f>(C$2+C$2*M136+C$2*L136)*(1+K136)</f>
        <v>727.82780000000002</v>
      </c>
      <c r="D136" s="3">
        <v>4</v>
      </c>
      <c r="E136" s="3">
        <v>3</v>
      </c>
      <c r="F136" s="3">
        <v>1</v>
      </c>
      <c r="G136" s="3">
        <f>SUMIFS($S$2:$S$10,$R$2:$R$10,D136)</f>
        <v>7</v>
      </c>
      <c r="H136" s="3">
        <f>SUMIFS($S$2:$S$10,$R$2:$R$10,E136)</f>
        <v>4</v>
      </c>
      <c r="I136" s="3">
        <f>SUMIFS($S$2:$S$10,$R$2:$R$10,F136)</f>
        <v>1</v>
      </c>
      <c r="J136" s="3">
        <f>SUM(G136:I136)</f>
        <v>12</v>
      </c>
      <c r="K136" s="3">
        <f>SUMIFS($T$2:$T$10,$R$2:$R$10,E136)</f>
        <v>0.19</v>
      </c>
      <c r="L136" s="3">
        <f>SUMIFS($V$2:$V$10,$R$2:$R$10,F136)</f>
        <v>0.01</v>
      </c>
      <c r="M136" s="3">
        <f>SUMIFS($U$2:$U$10,$R$2:$R$10,D136)</f>
        <v>0.05</v>
      </c>
    </row>
    <row r="137" spans="1:13" x14ac:dyDescent="0.25">
      <c r="A137" s="3">
        <f>(A$2+A$2*M137+A$2*L137)*(1+K137)</f>
        <v>514.48</v>
      </c>
      <c r="B137" s="3">
        <f>(B$2+B$2*M137+B$2*L137)*(1+K137)</f>
        <v>598.41000000000008</v>
      </c>
      <c r="C137" s="3">
        <f>(C$2+C$2*M137+C$2*L137)*(1+K137)</f>
        <v>628.92999999999995</v>
      </c>
      <c r="D137" s="3">
        <v>5</v>
      </c>
      <c r="E137" s="3">
        <v>0</v>
      </c>
      <c r="F137" s="3">
        <v>2</v>
      </c>
      <c r="G137" s="3">
        <f>SUMIFS($S$2:$S$10,$R$2:$R$10,D137)</f>
        <v>10</v>
      </c>
      <c r="H137" s="3">
        <f>SUMIFS($S$2:$S$10,$R$2:$R$10,E137)</f>
        <v>0</v>
      </c>
      <c r="I137" s="3">
        <f>SUMIFS($S$2:$S$10,$R$2:$R$10,F137)</f>
        <v>2</v>
      </c>
      <c r="J137" s="3">
        <f>SUM(G137:I137)</f>
        <v>12</v>
      </c>
      <c r="K137" s="3">
        <f>SUMIFS($T$2:$T$10,$R$2:$R$10,E137)</f>
        <v>0</v>
      </c>
      <c r="L137" s="3">
        <f>SUMIFS($V$2:$V$10,$R$2:$R$10,F137)</f>
        <v>0.02</v>
      </c>
      <c r="M137" s="3">
        <f>SUMIFS($U$2:$U$10,$R$2:$R$10,D137)</f>
        <v>7.0000000000000007E-2</v>
      </c>
    </row>
    <row r="138" spans="1:13" x14ac:dyDescent="0.25">
      <c r="A138" s="3">
        <f>(A$2+A$2*M138+A$2*L138)*(1+K138)</f>
        <v>576.02880000000005</v>
      </c>
      <c r="B138" s="3">
        <f>(B$2+B$2*M138+B$2*L138)*(1+K138)</f>
        <v>669.99959999999999</v>
      </c>
      <c r="C138" s="3">
        <f>(C$2+C$2*M138+C$2*L138)*(1+K138)</f>
        <v>704.17079999999987</v>
      </c>
      <c r="D138" s="3">
        <v>5</v>
      </c>
      <c r="E138" s="3">
        <v>1</v>
      </c>
      <c r="F138" s="3">
        <v>1</v>
      </c>
      <c r="G138" s="3">
        <f>SUMIFS($S$2:$S$10,$R$2:$R$10,D138)</f>
        <v>10</v>
      </c>
      <c r="H138" s="3">
        <f>SUMIFS($S$2:$S$10,$R$2:$R$10,E138)</f>
        <v>1</v>
      </c>
      <c r="I138" s="3">
        <f>SUMIFS($S$2:$S$10,$R$2:$R$10,F138)</f>
        <v>1</v>
      </c>
      <c r="J138" s="3">
        <f>SUM(G138:I138)</f>
        <v>12</v>
      </c>
      <c r="K138" s="3">
        <f>SUMIFS($T$2:$T$10,$R$2:$R$10,E138)</f>
        <v>0.13</v>
      </c>
      <c r="L138" s="3">
        <f>SUMIFS($V$2:$V$10,$R$2:$R$10,F138)</f>
        <v>0.01</v>
      </c>
      <c r="M138" s="3">
        <f>SUMIFS($U$2:$U$10,$R$2:$R$10,D138)</f>
        <v>7.0000000000000007E-2</v>
      </c>
    </row>
    <row r="139" spans="1:13" x14ac:dyDescent="0.25">
      <c r="A139" s="3">
        <f>(A$2+A$2*M139+A$2*L139)*(1+K139)</f>
        <v>585.84640000000002</v>
      </c>
      <c r="B139" s="3">
        <f>(B$2+B$2*M139+B$2*L139)*(1+K139)</f>
        <v>681.41880000000003</v>
      </c>
      <c r="C139" s="3">
        <f>(C$2+C$2*M139+C$2*L139)*(1+K139)</f>
        <v>716.17239999999993</v>
      </c>
      <c r="D139" s="3">
        <v>5</v>
      </c>
      <c r="E139" s="3">
        <v>2</v>
      </c>
      <c r="F139" s="3">
        <v>0</v>
      </c>
      <c r="G139" s="3">
        <f>SUMIFS($S$2:$S$10,$R$2:$R$10,D139)</f>
        <v>10</v>
      </c>
      <c r="H139" s="3">
        <f>SUMIFS($S$2:$S$10,$R$2:$R$10,E139)</f>
        <v>2</v>
      </c>
      <c r="I139" s="3">
        <f>SUMIFS($S$2:$S$10,$R$2:$R$10,F139)</f>
        <v>0</v>
      </c>
      <c r="J139" s="3">
        <f>SUM(G139:I139)</f>
        <v>12</v>
      </c>
      <c r="K139" s="3">
        <f>SUMIFS($T$2:$T$10,$R$2:$R$10,E139)</f>
        <v>0.16</v>
      </c>
      <c r="L139" s="3">
        <f>SUMIFS($V$2:$V$10,$R$2:$R$10,F139)</f>
        <v>0</v>
      </c>
      <c r="M139" s="3">
        <f>SUMIFS($U$2:$U$10,$R$2:$R$10,D139)</f>
        <v>7.0000000000000007E-2</v>
      </c>
    </row>
    <row r="140" spans="1:13" x14ac:dyDescent="0.25">
      <c r="A140" s="2">
        <f>(A$2+A$2*K140+A$2*M140)*(1+L140)</f>
        <v>595.38080000000002</v>
      </c>
      <c r="B140" s="2">
        <f>(B$2+B$2*K140+B$2*M140)*(1+L140)</f>
        <v>692.5086</v>
      </c>
      <c r="C140" s="2">
        <f>(C$2+C$2*K140+C$2*M140)*(1+L140)</f>
        <v>727.8277999999998</v>
      </c>
      <c r="D140" s="2">
        <v>3</v>
      </c>
      <c r="E140" s="2">
        <v>3</v>
      </c>
      <c r="F140" s="2">
        <v>3</v>
      </c>
      <c r="G140" s="2">
        <f>SUMIFS($S$2:$S$10,$R$2:$R$10,D140)</f>
        <v>4</v>
      </c>
      <c r="H140" s="2">
        <f>SUMIFS($S$2:$S$10,$R$2:$R$10,E140)</f>
        <v>4</v>
      </c>
      <c r="I140" s="2">
        <f>SUMIFS($S$2:$S$10,$R$2:$R$10,F140)</f>
        <v>4</v>
      </c>
      <c r="J140" s="2">
        <f>SUM(G140:I140)</f>
        <v>12</v>
      </c>
      <c r="K140" s="2">
        <f>SUMIFS($U$2:$U$10,$R$2:$R$10,E140)</f>
        <v>0.03</v>
      </c>
      <c r="L140" s="2">
        <f>SUMIFS($T$2:$T$10,$R$2:$R$10,F140)</f>
        <v>0.19</v>
      </c>
      <c r="M140" s="2">
        <f>SUMIFS($V$2:$V$10,$R$2:$R$10,D140)</f>
        <v>0.03</v>
      </c>
    </row>
    <row r="141" spans="1:13" x14ac:dyDescent="0.25">
      <c r="A141" s="2">
        <f>(A$2+A$2*K141+A$2*M141)*(1+L141)</f>
        <v>589.76400000000001</v>
      </c>
      <c r="B141" s="2">
        <f>(B$2+B$2*K141+B$2*M141)*(1+L141)</f>
        <v>685.97550000000001</v>
      </c>
      <c r="C141" s="2">
        <f>(C$2+C$2*K141+C$2*M141)*(1+L141)</f>
        <v>720.9615</v>
      </c>
      <c r="D141" s="2">
        <v>4</v>
      </c>
      <c r="E141" s="2">
        <v>1</v>
      </c>
      <c r="F141" s="2">
        <v>3</v>
      </c>
      <c r="G141" s="2">
        <f>SUMIFS($S$2:$S$10,$R$2:$R$10,D141)</f>
        <v>7</v>
      </c>
      <c r="H141" s="2">
        <f>SUMIFS($S$2:$S$10,$R$2:$R$10,E141)</f>
        <v>1</v>
      </c>
      <c r="I141" s="2">
        <f>SUMIFS($S$2:$S$10,$R$2:$R$10,F141)</f>
        <v>4</v>
      </c>
      <c r="J141" s="2">
        <f>SUM(G141:I141)</f>
        <v>12</v>
      </c>
      <c r="K141" s="2">
        <f>SUMIFS($U$2:$U$10,$R$2:$R$10,E141)</f>
        <v>0.01</v>
      </c>
      <c r="L141" s="2">
        <f>SUMIFS($T$2:$T$10,$R$2:$R$10,F141)</f>
        <v>0.19</v>
      </c>
      <c r="M141" s="2">
        <f>SUMIFS($V$2:$V$10,$R$2:$R$10,D141)</f>
        <v>0.04</v>
      </c>
    </row>
    <row r="142" spans="1:13" x14ac:dyDescent="0.25">
      <c r="A142" s="2">
        <f>(A$2+A$2*K142+A$2*M142)*(1+L142)</f>
        <v>570.6952</v>
      </c>
      <c r="B142" s="2">
        <f>(B$2+B$2*K142+B$2*M142)*(1+L142)</f>
        <v>663.79589999999996</v>
      </c>
      <c r="C142" s="2">
        <f>(C$2+C$2*K142+C$2*M142)*(1+L142)</f>
        <v>697.65069999999992</v>
      </c>
      <c r="D142" s="2">
        <v>4</v>
      </c>
      <c r="E142" s="2">
        <v>3</v>
      </c>
      <c r="F142" s="2">
        <v>1</v>
      </c>
      <c r="G142" s="2">
        <f>SUMIFS($S$2:$S$10,$R$2:$R$10,D142)</f>
        <v>7</v>
      </c>
      <c r="H142" s="2">
        <f>SUMIFS($S$2:$S$10,$R$2:$R$10,E142)</f>
        <v>4</v>
      </c>
      <c r="I142" s="2">
        <f>SUMIFS($S$2:$S$10,$R$2:$R$10,F142)</f>
        <v>1</v>
      </c>
      <c r="J142" s="2">
        <f>SUM(G142:I142)</f>
        <v>12</v>
      </c>
      <c r="K142" s="2">
        <f>SUMIFS($U$2:$U$10,$R$2:$R$10,E142)</f>
        <v>0.03</v>
      </c>
      <c r="L142" s="2">
        <f>SUMIFS($T$2:$T$10,$R$2:$R$10,F142)</f>
        <v>0.13</v>
      </c>
      <c r="M142" s="2">
        <f>SUMIFS($V$2:$V$10,$R$2:$R$10,D142)</f>
        <v>0.04</v>
      </c>
    </row>
    <row r="143" spans="1:13" x14ac:dyDescent="0.25">
      <c r="A143" s="2">
        <f>(A$2+A$2*K143+A$2*M143)*(1+L143)</f>
        <v>574.89599999999996</v>
      </c>
      <c r="B143" s="2">
        <f>(B$2+B$2*K143+B$2*M143)*(1+L143)</f>
        <v>668.68200000000002</v>
      </c>
      <c r="C143" s="2">
        <f>(C$2+C$2*K143+C$2*M143)*(1+L143)</f>
        <v>702.78599999999994</v>
      </c>
      <c r="D143" s="2">
        <v>5</v>
      </c>
      <c r="E143" s="2">
        <v>0</v>
      </c>
      <c r="F143" s="2">
        <v>2</v>
      </c>
      <c r="G143" s="2">
        <f>SUMIFS($S$2:$S$10,$R$2:$R$10,D143)</f>
        <v>10</v>
      </c>
      <c r="H143" s="2">
        <f>SUMIFS($S$2:$S$10,$R$2:$R$10,E143)</f>
        <v>0</v>
      </c>
      <c r="I143" s="2">
        <f>SUMIFS($S$2:$S$10,$R$2:$R$10,F143)</f>
        <v>2</v>
      </c>
      <c r="J143" s="2">
        <f>SUM(G143:I143)</f>
        <v>12</v>
      </c>
      <c r="K143" s="2">
        <f>SUMIFS($U$2:$U$10,$R$2:$R$10,E143)</f>
        <v>0</v>
      </c>
      <c r="L143" s="2">
        <f>SUMIFS($T$2:$T$10,$R$2:$R$10,F143)</f>
        <v>0.16</v>
      </c>
      <c r="M143" s="2">
        <f>SUMIFS($V$2:$V$10,$R$2:$R$10,D143)</f>
        <v>0.05</v>
      </c>
    </row>
    <row r="144" spans="1:13" x14ac:dyDescent="0.25">
      <c r="A144" s="2">
        <f>(A$2+A$2*K144+A$2*M144)*(1+L144)</f>
        <v>565.36159999999995</v>
      </c>
      <c r="B144" s="2">
        <f>(B$2+B$2*K144+B$2*M144)*(1+L144)</f>
        <v>657.59220000000005</v>
      </c>
      <c r="C144" s="2">
        <f>(C$2+C$2*K144+C$2*M144)*(1+L144)</f>
        <v>691.13059999999996</v>
      </c>
      <c r="D144" s="2">
        <v>5</v>
      </c>
      <c r="E144" s="2">
        <v>1</v>
      </c>
      <c r="F144" s="2">
        <v>1</v>
      </c>
      <c r="G144" s="2">
        <f>SUMIFS($S$2:$S$10,$R$2:$R$10,D144)</f>
        <v>10</v>
      </c>
      <c r="H144" s="2">
        <f>SUMIFS($S$2:$S$10,$R$2:$R$10,E144)</f>
        <v>1</v>
      </c>
      <c r="I144" s="2">
        <f>SUMIFS($S$2:$S$10,$R$2:$R$10,F144)</f>
        <v>1</v>
      </c>
      <c r="J144" s="2">
        <f>SUM(G144:I144)</f>
        <v>12</v>
      </c>
      <c r="K144" s="2">
        <f>SUMIFS($U$2:$U$10,$R$2:$R$10,E144)</f>
        <v>0.01</v>
      </c>
      <c r="L144" s="2">
        <f>SUMIFS($T$2:$T$10,$R$2:$R$10,F144)</f>
        <v>0.13</v>
      </c>
      <c r="M144" s="2">
        <f>SUMIFS($V$2:$V$10,$R$2:$R$10,D144)</f>
        <v>0.05</v>
      </c>
    </row>
    <row r="145" spans="1:13" x14ac:dyDescent="0.25">
      <c r="A145" s="2">
        <f>(A$2+A$2*K145+A$2*M145)*(1+L145)</f>
        <v>505.04</v>
      </c>
      <c r="B145" s="2">
        <f>(B$2+B$2*K145+B$2*M145)*(1+L145)</f>
        <v>587.43000000000006</v>
      </c>
      <c r="C145" s="2">
        <f>(C$2+C$2*K145+C$2*M145)*(1+L145)</f>
        <v>617.39</v>
      </c>
      <c r="D145" s="2">
        <v>5</v>
      </c>
      <c r="E145" s="2">
        <v>2</v>
      </c>
      <c r="F145" s="2">
        <v>0</v>
      </c>
      <c r="G145" s="2">
        <f>SUMIFS($S$2:$S$10,$R$2:$R$10,D145)</f>
        <v>10</v>
      </c>
      <c r="H145" s="2">
        <f>SUMIFS($S$2:$S$10,$R$2:$R$10,E145)</f>
        <v>2</v>
      </c>
      <c r="I145" s="2">
        <f>SUMIFS($S$2:$S$10,$R$2:$R$10,F145)</f>
        <v>0</v>
      </c>
      <c r="J145" s="2">
        <f>SUM(G145:I145)</f>
        <v>12</v>
      </c>
      <c r="K145" s="2">
        <f>SUMIFS($U$2:$U$10,$R$2:$R$10,E145)</f>
        <v>0.02</v>
      </c>
      <c r="L145" s="2">
        <f>SUMIFS($T$2:$T$10,$R$2:$R$10,F145)</f>
        <v>0</v>
      </c>
      <c r="M145" s="2">
        <f>SUMIFS($V$2:$V$10,$R$2:$R$10,D145)</f>
        <v>0.05</v>
      </c>
    </row>
    <row r="146" spans="1:13" x14ac:dyDescent="0.25">
      <c r="A146" s="1">
        <f>(A$2+A$2*K146+A$2*L146)*(1+M146)</f>
        <v>604.63200000000006</v>
      </c>
      <c r="B146" s="1">
        <f>(B$2+B$2*K146+B$2*L146)*(1+M146)</f>
        <v>703.26900000000001</v>
      </c>
      <c r="C146" s="1">
        <f>(C$2+C$2*K146+C$2*L146)*(1+M146)</f>
        <v>739.13699999999983</v>
      </c>
      <c r="D146" s="1">
        <v>4</v>
      </c>
      <c r="E146" s="1">
        <v>2</v>
      </c>
      <c r="F146" s="1">
        <v>3</v>
      </c>
      <c r="G146" s="1">
        <f>SUMIFS($S$2:$S$10,$R$2:$R$10,D146)</f>
        <v>7</v>
      </c>
      <c r="H146" s="1">
        <f>SUMIFS($S$2:$S$10,$R$2:$R$10,E146)</f>
        <v>2</v>
      </c>
      <c r="I146" s="1">
        <f>SUMIFS($S$2:$S$10,$R$2:$R$10,F146)</f>
        <v>4</v>
      </c>
      <c r="J146" s="1">
        <f>SUM(G146:I146)</f>
        <v>13</v>
      </c>
      <c r="K146" s="1">
        <f>SUMIFS($U$2:$U$10,$R$2:$R$10,E146)</f>
        <v>0.02</v>
      </c>
      <c r="L146" s="1">
        <f>SUMIFS($V$2:$V$10,$R$2:$R$10,F146)</f>
        <v>0.03</v>
      </c>
      <c r="M146" s="1">
        <f>SUMIFS($T$2:$T$10,$R$2:$R$10,D146)</f>
        <v>0.22</v>
      </c>
    </row>
    <row r="147" spans="1:13" x14ac:dyDescent="0.25">
      <c r="A147" s="1">
        <f>(A$2+A$2*K147+A$2*L147)*(1+M147)</f>
        <v>604.63200000000006</v>
      </c>
      <c r="B147" s="1">
        <f>(B$2+B$2*K147+B$2*L147)*(1+M147)</f>
        <v>703.26900000000001</v>
      </c>
      <c r="C147" s="1">
        <f>(C$2+C$2*K147+C$2*L147)*(1+M147)</f>
        <v>739.13699999999983</v>
      </c>
      <c r="D147" s="1">
        <v>4</v>
      </c>
      <c r="E147" s="1">
        <v>3</v>
      </c>
      <c r="F147" s="1">
        <v>2</v>
      </c>
      <c r="G147" s="1">
        <f>SUMIFS($S$2:$S$10,$R$2:$R$10,D147)</f>
        <v>7</v>
      </c>
      <c r="H147" s="1">
        <f>SUMIFS($S$2:$S$10,$R$2:$R$10,E147)</f>
        <v>4</v>
      </c>
      <c r="I147" s="1">
        <f>SUMIFS($S$2:$S$10,$R$2:$R$10,F147)</f>
        <v>2</v>
      </c>
      <c r="J147" s="1">
        <f>SUM(G147:I147)</f>
        <v>13</v>
      </c>
      <c r="K147" s="1">
        <f>SUMIFS($U$2:$U$10,$R$2:$R$10,E147)</f>
        <v>0.03</v>
      </c>
      <c r="L147" s="1">
        <f>SUMIFS($V$2:$V$10,$R$2:$R$10,F147)</f>
        <v>0.02</v>
      </c>
      <c r="M147" s="1">
        <f>SUMIFS($T$2:$T$10,$R$2:$R$10,D147)</f>
        <v>0.22</v>
      </c>
    </row>
    <row r="148" spans="1:13" x14ac:dyDescent="0.25">
      <c r="A148" s="1">
        <f>(A$2+A$2*K148+A$2*L148)*(1+M148)</f>
        <v>617.42320000000007</v>
      </c>
      <c r="B148" s="1">
        <f>(B$2+B$2*K148+B$2*L148)*(1+M148)</f>
        <v>718.14690000000007</v>
      </c>
      <c r="C148" s="1">
        <f>(C$2+C$2*K148+C$2*L148)*(1+M148)</f>
        <v>754.77369999999996</v>
      </c>
      <c r="D148" s="1">
        <v>5</v>
      </c>
      <c r="E148" s="1">
        <v>1</v>
      </c>
      <c r="F148" s="1">
        <v>2</v>
      </c>
      <c r="G148" s="1">
        <f>SUMIFS($S$2:$S$10,$R$2:$R$10,D148)</f>
        <v>10</v>
      </c>
      <c r="H148" s="1">
        <f>SUMIFS($S$2:$S$10,$R$2:$R$10,E148)</f>
        <v>1</v>
      </c>
      <c r="I148" s="1">
        <f>SUMIFS($S$2:$S$10,$R$2:$R$10,F148)</f>
        <v>2</v>
      </c>
      <c r="J148" s="1">
        <f>SUM(G148:I148)</f>
        <v>13</v>
      </c>
      <c r="K148" s="1">
        <f>SUMIFS($U$2:$U$10,$R$2:$R$10,E148)</f>
        <v>0.01</v>
      </c>
      <c r="L148" s="1">
        <f>SUMIFS($V$2:$V$10,$R$2:$R$10,F148)</f>
        <v>0.02</v>
      </c>
      <c r="M148" s="1">
        <f>SUMIFS($T$2:$T$10,$R$2:$R$10,D148)</f>
        <v>0.27</v>
      </c>
    </row>
    <row r="149" spans="1:13" x14ac:dyDescent="0.25">
      <c r="A149" s="1">
        <f>(A$2+A$2*K149+A$2*L149)*(1+M149)</f>
        <v>617.42320000000007</v>
      </c>
      <c r="B149" s="1">
        <f>(B$2+B$2*K149+B$2*L149)*(1+M149)</f>
        <v>718.14690000000007</v>
      </c>
      <c r="C149" s="1">
        <f>(C$2+C$2*K149+C$2*L149)*(1+M149)</f>
        <v>754.77369999999996</v>
      </c>
      <c r="D149" s="1">
        <v>5</v>
      </c>
      <c r="E149" s="1">
        <v>2</v>
      </c>
      <c r="F149" s="1">
        <v>1</v>
      </c>
      <c r="G149" s="1">
        <f>SUMIFS($S$2:$S$10,$R$2:$R$10,D149)</f>
        <v>10</v>
      </c>
      <c r="H149" s="1">
        <f>SUMIFS($S$2:$S$10,$R$2:$R$10,E149)</f>
        <v>2</v>
      </c>
      <c r="I149" s="1">
        <f>SUMIFS($S$2:$S$10,$R$2:$R$10,F149)</f>
        <v>1</v>
      </c>
      <c r="J149" s="1">
        <f>SUM(G149:I149)</f>
        <v>13</v>
      </c>
      <c r="K149" s="1">
        <f>SUMIFS($U$2:$U$10,$R$2:$R$10,E149)</f>
        <v>0.02</v>
      </c>
      <c r="L149" s="1">
        <f>SUMIFS($V$2:$V$10,$R$2:$R$10,F149)</f>
        <v>0.01</v>
      </c>
      <c r="M149" s="1">
        <f>SUMIFS($T$2:$T$10,$R$2:$R$10,D149)</f>
        <v>0.27</v>
      </c>
    </row>
    <row r="150" spans="1:13" x14ac:dyDescent="0.25">
      <c r="A150" s="3">
        <f>(A$2+A$2*M150+A$2*L150)*(1+K150)</f>
        <v>591.32159999999999</v>
      </c>
      <c r="B150" s="3">
        <f>(B$2+B$2*M150+B$2*L150)*(1+K150)</f>
        <v>687.78719999999998</v>
      </c>
      <c r="C150" s="3">
        <f>(C$2+C$2*M150+C$2*L150)*(1+K150)</f>
        <v>722.86559999999986</v>
      </c>
      <c r="D150" s="3">
        <v>4</v>
      </c>
      <c r="E150" s="3">
        <v>2</v>
      </c>
      <c r="F150" s="3">
        <v>3</v>
      </c>
      <c r="G150" s="3">
        <f>SUMIFS($S$2:$S$10,$R$2:$R$10,D150)</f>
        <v>7</v>
      </c>
      <c r="H150" s="3">
        <f>SUMIFS($S$2:$S$10,$R$2:$R$10,E150)</f>
        <v>2</v>
      </c>
      <c r="I150" s="3">
        <f>SUMIFS($S$2:$S$10,$R$2:$R$10,F150)</f>
        <v>4</v>
      </c>
      <c r="J150" s="3">
        <f>SUM(G150:I150)</f>
        <v>13</v>
      </c>
      <c r="K150" s="3">
        <f>SUMIFS($T$2:$T$10,$R$2:$R$10,E150)</f>
        <v>0.16</v>
      </c>
      <c r="L150" s="3">
        <f>SUMIFS($V$2:$V$10,$R$2:$R$10,F150)</f>
        <v>0.03</v>
      </c>
      <c r="M150" s="3">
        <f>SUMIFS($U$2:$U$10,$R$2:$R$10,D150)</f>
        <v>0.05</v>
      </c>
    </row>
    <row r="151" spans="1:13" x14ac:dyDescent="0.25">
      <c r="A151" s="3">
        <f>(A$2+A$2*M151+A$2*L151)*(1+K151)</f>
        <v>600.99760000000003</v>
      </c>
      <c r="B151" s="3">
        <f>(B$2+B$2*M151+B$2*L151)*(1+K151)</f>
        <v>699.04169999999999</v>
      </c>
      <c r="C151" s="3">
        <f>(C$2+C$2*M151+C$2*L151)*(1+K151)</f>
        <v>734.69409999999993</v>
      </c>
      <c r="D151" s="3">
        <v>4</v>
      </c>
      <c r="E151" s="3">
        <v>3</v>
      </c>
      <c r="F151" s="3">
        <v>2</v>
      </c>
      <c r="G151" s="3">
        <f>SUMIFS($S$2:$S$10,$R$2:$R$10,D151)</f>
        <v>7</v>
      </c>
      <c r="H151" s="3">
        <f>SUMIFS($S$2:$S$10,$R$2:$R$10,E151)</f>
        <v>4</v>
      </c>
      <c r="I151" s="3">
        <f>SUMIFS($S$2:$S$10,$R$2:$R$10,F151)</f>
        <v>2</v>
      </c>
      <c r="J151" s="3">
        <f>SUM(G151:I151)</f>
        <v>13</v>
      </c>
      <c r="K151" s="3">
        <f>SUMIFS($T$2:$T$10,$R$2:$R$10,E151)</f>
        <v>0.19</v>
      </c>
      <c r="L151" s="3">
        <f>SUMIFS($V$2:$V$10,$R$2:$R$10,F151)</f>
        <v>0.02</v>
      </c>
      <c r="M151" s="3">
        <f>SUMIFS($U$2:$U$10,$R$2:$R$10,D151)</f>
        <v>0.05</v>
      </c>
    </row>
    <row r="152" spans="1:13" x14ac:dyDescent="0.25">
      <c r="A152" s="3">
        <f>(A$2+A$2*M152+A$2*L152)*(1+K152)</f>
        <v>581.36239999999998</v>
      </c>
      <c r="B152" s="3">
        <f>(B$2+B$2*M152+B$2*L152)*(1+K152)</f>
        <v>676.20330000000001</v>
      </c>
      <c r="C152" s="3">
        <f>(C$2+C$2*M152+C$2*L152)*(1+K152)</f>
        <v>710.69089999999983</v>
      </c>
      <c r="D152" s="3">
        <v>5</v>
      </c>
      <c r="E152" s="3">
        <v>1</v>
      </c>
      <c r="F152" s="3">
        <v>2</v>
      </c>
      <c r="G152" s="3">
        <f>SUMIFS($S$2:$S$10,$R$2:$R$10,D152)</f>
        <v>10</v>
      </c>
      <c r="H152" s="3">
        <f>SUMIFS($S$2:$S$10,$R$2:$R$10,E152)</f>
        <v>1</v>
      </c>
      <c r="I152" s="3">
        <f>SUMIFS($S$2:$S$10,$R$2:$R$10,F152)</f>
        <v>2</v>
      </c>
      <c r="J152" s="3">
        <f>SUM(G152:I152)</f>
        <v>13</v>
      </c>
      <c r="K152" s="3">
        <f>SUMIFS($T$2:$T$10,$R$2:$R$10,E152)</f>
        <v>0.13</v>
      </c>
      <c r="L152" s="3">
        <f>SUMIFS($V$2:$V$10,$R$2:$R$10,F152)</f>
        <v>0.02</v>
      </c>
      <c r="M152" s="3">
        <f>SUMIFS($U$2:$U$10,$R$2:$R$10,D152)</f>
        <v>7.0000000000000007E-2</v>
      </c>
    </row>
    <row r="153" spans="1:13" x14ac:dyDescent="0.25">
      <c r="A153" s="3">
        <f>(A$2+A$2*M153+A$2*L153)*(1+K153)</f>
        <v>591.32159999999999</v>
      </c>
      <c r="B153" s="3">
        <f>(B$2+B$2*M153+B$2*L153)*(1+K153)</f>
        <v>687.78719999999998</v>
      </c>
      <c r="C153" s="3">
        <f>(C$2+C$2*M153+C$2*L153)*(1+K153)</f>
        <v>722.86559999999986</v>
      </c>
      <c r="D153" s="3">
        <v>5</v>
      </c>
      <c r="E153" s="3">
        <v>2</v>
      </c>
      <c r="F153" s="3">
        <v>1</v>
      </c>
      <c r="G153" s="3">
        <f>SUMIFS($S$2:$S$10,$R$2:$R$10,D153)</f>
        <v>10</v>
      </c>
      <c r="H153" s="3">
        <f>SUMIFS($S$2:$S$10,$R$2:$R$10,E153)</f>
        <v>2</v>
      </c>
      <c r="I153" s="3">
        <f>SUMIFS($S$2:$S$10,$R$2:$R$10,F153)</f>
        <v>1</v>
      </c>
      <c r="J153" s="3">
        <f>SUM(G153:I153)</f>
        <v>13</v>
      </c>
      <c r="K153" s="3">
        <f>SUMIFS($T$2:$T$10,$R$2:$R$10,E153)</f>
        <v>0.16</v>
      </c>
      <c r="L153" s="3">
        <f>SUMIFS($V$2:$V$10,$R$2:$R$10,F153)</f>
        <v>0.01</v>
      </c>
      <c r="M153" s="3">
        <f>SUMIFS($U$2:$U$10,$R$2:$R$10,D153)</f>
        <v>7.0000000000000007E-2</v>
      </c>
    </row>
    <row r="154" spans="1:13" x14ac:dyDescent="0.25">
      <c r="A154" s="2">
        <f>(A$2+A$2*K154+A$2*M154)*(1+L154)</f>
        <v>595.38080000000002</v>
      </c>
      <c r="B154" s="2">
        <f>(B$2+B$2*K154+B$2*M154)*(1+L154)</f>
        <v>692.5086</v>
      </c>
      <c r="C154" s="2">
        <f>(C$2+C$2*K154+C$2*M154)*(1+L154)</f>
        <v>727.82780000000002</v>
      </c>
      <c r="D154" s="2">
        <v>4</v>
      </c>
      <c r="E154" s="2">
        <v>2</v>
      </c>
      <c r="F154" s="2">
        <v>3</v>
      </c>
      <c r="G154" s="2">
        <f>SUMIFS($S$2:$S$10,$R$2:$R$10,D154)</f>
        <v>7</v>
      </c>
      <c r="H154" s="2">
        <f>SUMIFS($S$2:$S$10,$R$2:$R$10,E154)</f>
        <v>2</v>
      </c>
      <c r="I154" s="2">
        <f>SUMIFS($S$2:$S$10,$R$2:$R$10,F154)</f>
        <v>4</v>
      </c>
      <c r="J154" s="2">
        <f>SUM(G154:I154)</f>
        <v>13</v>
      </c>
      <c r="K154" s="2">
        <f>SUMIFS($U$2:$U$10,$R$2:$R$10,E154)</f>
        <v>0.02</v>
      </c>
      <c r="L154" s="2">
        <f>SUMIFS($T$2:$T$10,$R$2:$R$10,F154)</f>
        <v>0.19</v>
      </c>
      <c r="M154" s="2">
        <f>SUMIFS($V$2:$V$10,$R$2:$R$10,D154)</f>
        <v>0.04</v>
      </c>
    </row>
    <row r="155" spans="1:13" x14ac:dyDescent="0.25">
      <c r="A155" s="2">
        <f>(A$2+A$2*K155+A$2*M155)*(1+L155)</f>
        <v>585.84640000000002</v>
      </c>
      <c r="B155" s="2">
        <f>(B$2+B$2*K155+B$2*M155)*(1+L155)</f>
        <v>681.41880000000003</v>
      </c>
      <c r="C155" s="2">
        <f>(C$2+C$2*K155+C$2*M155)*(1+L155)</f>
        <v>716.17239999999993</v>
      </c>
      <c r="D155" s="2">
        <v>4</v>
      </c>
      <c r="E155" s="2">
        <v>3</v>
      </c>
      <c r="F155" s="2">
        <v>2</v>
      </c>
      <c r="G155" s="2">
        <f>SUMIFS($S$2:$S$10,$R$2:$R$10,D155)</f>
        <v>7</v>
      </c>
      <c r="H155" s="2">
        <f>SUMIFS($S$2:$S$10,$R$2:$R$10,E155)</f>
        <v>4</v>
      </c>
      <c r="I155" s="2">
        <f>SUMIFS($S$2:$S$10,$R$2:$R$10,F155)</f>
        <v>2</v>
      </c>
      <c r="J155" s="2">
        <f>SUM(G155:I155)</f>
        <v>13</v>
      </c>
      <c r="K155" s="2">
        <f>SUMIFS($U$2:$U$10,$R$2:$R$10,E155)</f>
        <v>0.03</v>
      </c>
      <c r="L155" s="2">
        <f>SUMIFS($T$2:$T$10,$R$2:$R$10,F155)</f>
        <v>0.16</v>
      </c>
      <c r="M155" s="2">
        <f>SUMIFS($V$2:$V$10,$R$2:$R$10,D155)</f>
        <v>0.04</v>
      </c>
    </row>
    <row r="156" spans="1:13" x14ac:dyDescent="0.25">
      <c r="A156" s="2">
        <f>(A$2+A$2*K156+A$2*M156)*(1+L156)</f>
        <v>580.37120000000004</v>
      </c>
      <c r="B156" s="2">
        <f>(B$2+B$2*K156+B$2*M156)*(1+L156)</f>
        <v>675.05039999999997</v>
      </c>
      <c r="C156" s="2">
        <f>(C$2+C$2*K156+C$2*M156)*(1+L156)</f>
        <v>709.47919999999999</v>
      </c>
      <c r="D156" s="2">
        <v>5</v>
      </c>
      <c r="E156" s="2">
        <v>1</v>
      </c>
      <c r="F156" s="2">
        <v>2</v>
      </c>
      <c r="G156" s="2">
        <f>SUMIFS($S$2:$S$10,$R$2:$R$10,D156)</f>
        <v>10</v>
      </c>
      <c r="H156" s="2">
        <f>SUMIFS($S$2:$S$10,$R$2:$R$10,E156)</f>
        <v>1</v>
      </c>
      <c r="I156" s="2">
        <f>SUMIFS($S$2:$S$10,$R$2:$R$10,F156)</f>
        <v>2</v>
      </c>
      <c r="J156" s="2">
        <f>SUM(G156:I156)</f>
        <v>13</v>
      </c>
      <c r="K156" s="2">
        <f>SUMIFS($U$2:$U$10,$R$2:$R$10,E156)</f>
        <v>0.01</v>
      </c>
      <c r="L156" s="2">
        <f>SUMIFS($T$2:$T$10,$R$2:$R$10,F156)</f>
        <v>0.16</v>
      </c>
      <c r="M156" s="2">
        <f>SUMIFS($V$2:$V$10,$R$2:$R$10,D156)</f>
        <v>0.05</v>
      </c>
    </row>
    <row r="157" spans="1:13" x14ac:dyDescent="0.25">
      <c r="A157" s="2">
        <f>(A$2+A$2*K157+A$2*M157)*(1+L157)</f>
        <v>570.6952</v>
      </c>
      <c r="B157" s="2">
        <f>(B$2+B$2*K157+B$2*M157)*(1+L157)</f>
        <v>663.79589999999996</v>
      </c>
      <c r="C157" s="2">
        <f>(C$2+C$2*K157+C$2*M157)*(1+L157)</f>
        <v>697.65069999999992</v>
      </c>
      <c r="D157" s="2">
        <v>5</v>
      </c>
      <c r="E157" s="2">
        <v>2</v>
      </c>
      <c r="F157" s="2">
        <v>1</v>
      </c>
      <c r="G157" s="2">
        <f>SUMIFS($S$2:$S$10,$R$2:$R$10,D157)</f>
        <v>10</v>
      </c>
      <c r="H157" s="2">
        <f>SUMIFS($S$2:$S$10,$R$2:$R$10,E157)</f>
        <v>2</v>
      </c>
      <c r="I157" s="2">
        <f>SUMIFS($S$2:$S$10,$R$2:$R$10,F157)</f>
        <v>1</v>
      </c>
      <c r="J157" s="2">
        <f>SUM(G157:I157)</f>
        <v>13</v>
      </c>
      <c r="K157" s="2">
        <f>SUMIFS($U$2:$U$10,$R$2:$R$10,E157)</f>
        <v>0.02</v>
      </c>
      <c r="L157" s="2">
        <f>SUMIFS($T$2:$T$10,$R$2:$R$10,F157)</f>
        <v>0.13</v>
      </c>
      <c r="M157" s="2">
        <f>SUMIFS($V$2:$V$10,$R$2:$R$10,D157)</f>
        <v>0.05</v>
      </c>
    </row>
    <row r="158" spans="1:13" x14ac:dyDescent="0.25">
      <c r="A158" s="1">
        <f>(A$2+A$2*K158+A$2*L158)*(1+M158)</f>
        <v>598.87360000000001</v>
      </c>
      <c r="B158" s="1">
        <f>(B$2+B$2*K158+B$2*L158)*(1+M158)</f>
        <v>696.57119999999998</v>
      </c>
      <c r="C158" s="1">
        <f>(C$2+C$2*K158+C$2*L158)*(1+M158)</f>
        <v>732.09760000000006</v>
      </c>
      <c r="D158" s="1">
        <v>4</v>
      </c>
      <c r="E158" s="1">
        <v>0</v>
      </c>
      <c r="F158" s="1">
        <v>4</v>
      </c>
      <c r="G158" s="1">
        <f>SUMIFS($S$2:$S$10,$R$2:$R$10,D158)</f>
        <v>7</v>
      </c>
      <c r="H158" s="1">
        <f>SUMIFS($S$2:$S$10,$R$2:$R$10,E158)</f>
        <v>0</v>
      </c>
      <c r="I158" s="1">
        <f>SUMIFS($S$2:$S$10,$R$2:$R$10,F158)</f>
        <v>7</v>
      </c>
      <c r="J158" s="1">
        <f>SUM(G158:I158)</f>
        <v>14</v>
      </c>
      <c r="K158" s="1">
        <f>SUMIFS($U$2:$U$10,$R$2:$R$10,E158)</f>
        <v>0</v>
      </c>
      <c r="L158" s="1">
        <f>SUMIFS($V$2:$V$10,$R$2:$R$10,F158)</f>
        <v>0.04</v>
      </c>
      <c r="M158" s="1">
        <f>SUMIFS($T$2:$T$10,$R$2:$R$10,D158)</f>
        <v>0.22</v>
      </c>
    </row>
    <row r="159" spans="1:13" x14ac:dyDescent="0.25">
      <c r="A159" s="1">
        <f>(A$2+A$2*K159+A$2*L159)*(1+M159)</f>
        <v>604.63200000000006</v>
      </c>
      <c r="B159" s="1">
        <f>(B$2+B$2*K159+B$2*L159)*(1+M159)</f>
        <v>703.26900000000001</v>
      </c>
      <c r="C159" s="1">
        <f>(C$2+C$2*K159+C$2*L159)*(1+M159)</f>
        <v>739.13700000000006</v>
      </c>
      <c r="D159" s="1">
        <v>4</v>
      </c>
      <c r="E159" s="1">
        <v>4</v>
      </c>
      <c r="F159" s="1">
        <v>0</v>
      </c>
      <c r="G159" s="1">
        <f>SUMIFS($S$2:$S$10,$R$2:$R$10,D159)</f>
        <v>7</v>
      </c>
      <c r="H159" s="1">
        <f>SUMIFS($S$2:$S$10,$R$2:$R$10,E159)</f>
        <v>7</v>
      </c>
      <c r="I159" s="1">
        <f>SUMIFS($S$2:$S$10,$R$2:$R$10,F159)</f>
        <v>0</v>
      </c>
      <c r="J159" s="1">
        <f>SUM(G159:I159)</f>
        <v>14</v>
      </c>
      <c r="K159" s="1">
        <f>SUMIFS($U$2:$U$10,$R$2:$R$10,E159)</f>
        <v>0.05</v>
      </c>
      <c r="L159" s="1">
        <f>SUMIFS($V$2:$V$10,$R$2:$R$10,F159)</f>
        <v>0</v>
      </c>
      <c r="M159" s="1">
        <f>SUMIFS($T$2:$T$10,$R$2:$R$10,D159)</f>
        <v>0.22</v>
      </c>
    </row>
    <row r="160" spans="1:13" x14ac:dyDescent="0.25">
      <c r="A160" s="1">
        <f>(A$2+A$2*K160+A$2*L160)*(1+M160)</f>
        <v>617.42320000000007</v>
      </c>
      <c r="B160" s="1">
        <f>(B$2+B$2*K160+B$2*L160)*(1+M160)</f>
        <v>718.14690000000007</v>
      </c>
      <c r="C160" s="1">
        <f>(C$2+C$2*K160+C$2*L160)*(1+M160)</f>
        <v>754.77369999999996</v>
      </c>
      <c r="D160" s="1">
        <v>5</v>
      </c>
      <c r="E160" s="1">
        <v>0</v>
      </c>
      <c r="F160" s="1">
        <v>3</v>
      </c>
      <c r="G160" s="1">
        <f>SUMIFS($S$2:$S$10,$R$2:$R$10,D160)</f>
        <v>10</v>
      </c>
      <c r="H160" s="1">
        <f>SUMIFS($S$2:$S$10,$R$2:$R$10,E160)</f>
        <v>0</v>
      </c>
      <c r="I160" s="1">
        <f>SUMIFS($S$2:$S$10,$R$2:$R$10,F160)</f>
        <v>4</v>
      </c>
      <c r="J160" s="1">
        <f>SUM(G160:I160)</f>
        <v>14</v>
      </c>
      <c r="K160" s="1">
        <f>SUMIFS($U$2:$U$10,$R$2:$R$10,E160)</f>
        <v>0</v>
      </c>
      <c r="L160" s="1">
        <f>SUMIFS($V$2:$V$10,$R$2:$R$10,F160)</f>
        <v>0.03</v>
      </c>
      <c r="M160" s="1">
        <f>SUMIFS($T$2:$T$10,$R$2:$R$10,D160)</f>
        <v>0.27</v>
      </c>
    </row>
    <row r="161" spans="1:13" x14ac:dyDescent="0.25">
      <c r="A161" s="1">
        <f>(A$2+A$2*K161+A$2*L161)*(1+M161)</f>
        <v>623.41759999999999</v>
      </c>
      <c r="B161" s="1">
        <f>(B$2+B$2*K161+B$2*L161)*(1+M161)</f>
        <v>725.11920000000009</v>
      </c>
      <c r="C161" s="1">
        <f>(C$2+C$2*K161+C$2*L161)*(1+M161)</f>
        <v>762.10159999999996</v>
      </c>
      <c r="D161" s="1">
        <v>5</v>
      </c>
      <c r="E161" s="1">
        <v>2</v>
      </c>
      <c r="F161" s="1">
        <v>2</v>
      </c>
      <c r="G161" s="1">
        <f>SUMIFS($S$2:$S$10,$R$2:$R$10,D161)</f>
        <v>10</v>
      </c>
      <c r="H161" s="1">
        <f>SUMIFS($S$2:$S$10,$R$2:$R$10,E161)</f>
        <v>2</v>
      </c>
      <c r="I161" s="1">
        <f>SUMIFS($S$2:$S$10,$R$2:$R$10,F161)</f>
        <v>2</v>
      </c>
      <c r="J161" s="1">
        <f>SUM(G161:I161)</f>
        <v>14</v>
      </c>
      <c r="K161" s="1">
        <f>SUMIFS($U$2:$U$10,$R$2:$R$10,E161)</f>
        <v>0.02</v>
      </c>
      <c r="L161" s="1">
        <f>SUMIFS($V$2:$V$10,$R$2:$R$10,F161)</f>
        <v>0.02</v>
      </c>
      <c r="M161" s="1">
        <f>SUMIFS($T$2:$T$10,$R$2:$R$10,D161)</f>
        <v>0.27</v>
      </c>
    </row>
    <row r="162" spans="1:13" x14ac:dyDescent="0.25">
      <c r="A162" s="1">
        <f>(A$2+A$2*K162+A$2*L162)*(1+M162)</f>
        <v>617.42320000000007</v>
      </c>
      <c r="B162" s="1">
        <f>(B$2+B$2*K162+B$2*L162)*(1+M162)</f>
        <v>718.14690000000007</v>
      </c>
      <c r="C162" s="1">
        <f>(C$2+C$2*K162+C$2*L162)*(1+M162)</f>
        <v>754.77369999999996</v>
      </c>
      <c r="D162" s="1">
        <v>5</v>
      </c>
      <c r="E162" s="1">
        <v>3</v>
      </c>
      <c r="F162" s="1">
        <v>0</v>
      </c>
      <c r="G162" s="1">
        <f>SUMIFS($S$2:$S$10,$R$2:$R$10,D162)</f>
        <v>10</v>
      </c>
      <c r="H162" s="1">
        <f>SUMIFS($S$2:$S$10,$R$2:$R$10,E162)</f>
        <v>4</v>
      </c>
      <c r="I162" s="1">
        <f>SUMIFS($S$2:$S$10,$R$2:$R$10,F162)</f>
        <v>0</v>
      </c>
      <c r="J162" s="1">
        <f>SUM(G162:I162)</f>
        <v>14</v>
      </c>
      <c r="K162" s="1">
        <f>SUMIFS($U$2:$U$10,$R$2:$R$10,E162)</f>
        <v>0.03</v>
      </c>
      <c r="L162" s="1">
        <f>SUMIFS($V$2:$V$10,$R$2:$R$10,F162)</f>
        <v>0</v>
      </c>
      <c r="M162" s="1">
        <f>SUMIFS($T$2:$T$10,$R$2:$R$10,D162)</f>
        <v>0.27</v>
      </c>
    </row>
    <row r="163" spans="1:13" x14ac:dyDescent="0.25">
      <c r="A163" s="3">
        <f>(A$2+A$2*M163+A$2*L163)*(1+K163)</f>
        <v>514.48</v>
      </c>
      <c r="B163" s="3">
        <f>(B$2+B$2*M163+B$2*L163)*(1+K163)</f>
        <v>598.41000000000008</v>
      </c>
      <c r="C163" s="3">
        <f>(C$2+C$2*M163+C$2*L163)*(1+K163)</f>
        <v>628.93000000000006</v>
      </c>
      <c r="D163" s="3">
        <v>4</v>
      </c>
      <c r="E163" s="3">
        <v>0</v>
      </c>
      <c r="F163" s="3">
        <v>4</v>
      </c>
      <c r="G163" s="3">
        <f>SUMIFS($S$2:$S$10,$R$2:$R$10,D163)</f>
        <v>7</v>
      </c>
      <c r="H163" s="3">
        <f>SUMIFS($S$2:$S$10,$R$2:$R$10,E163)</f>
        <v>0</v>
      </c>
      <c r="I163" s="3">
        <f>SUMIFS($S$2:$S$10,$R$2:$R$10,F163)</f>
        <v>7</v>
      </c>
      <c r="J163" s="3">
        <f>SUM(G163:I163)</f>
        <v>14</v>
      </c>
      <c r="K163" s="3">
        <f>SUMIFS($T$2:$T$10,$R$2:$R$10,E163)</f>
        <v>0</v>
      </c>
      <c r="L163" s="3">
        <f>SUMIFS($V$2:$V$10,$R$2:$R$10,F163)</f>
        <v>0.04</v>
      </c>
      <c r="M163" s="3">
        <f>SUMIFS($U$2:$U$10,$R$2:$R$10,D163)</f>
        <v>0.05</v>
      </c>
    </row>
    <row r="164" spans="1:13" x14ac:dyDescent="0.25">
      <c r="A164" s="3">
        <f>(A$2+A$2*M164+A$2*L164)*(1+K164)</f>
        <v>604.63200000000006</v>
      </c>
      <c r="B164" s="3">
        <f>(B$2+B$2*M164+B$2*L164)*(1+K164)</f>
        <v>703.26900000000001</v>
      </c>
      <c r="C164" s="3">
        <f>(C$2+C$2*M164+C$2*L164)*(1+K164)</f>
        <v>739.13700000000006</v>
      </c>
      <c r="D164" s="3">
        <v>4</v>
      </c>
      <c r="E164" s="3">
        <v>4</v>
      </c>
      <c r="F164" s="3">
        <v>0</v>
      </c>
      <c r="G164" s="3">
        <f>SUMIFS($S$2:$S$10,$R$2:$R$10,D164)</f>
        <v>7</v>
      </c>
      <c r="H164" s="3">
        <f>SUMIFS($S$2:$S$10,$R$2:$R$10,E164)</f>
        <v>7</v>
      </c>
      <c r="I164" s="3">
        <f>SUMIFS($S$2:$S$10,$R$2:$R$10,F164)</f>
        <v>0</v>
      </c>
      <c r="J164" s="3">
        <f>SUM(G164:I164)</f>
        <v>14</v>
      </c>
      <c r="K164" s="3">
        <f>SUMIFS($T$2:$T$10,$R$2:$R$10,E164)</f>
        <v>0.22</v>
      </c>
      <c r="L164" s="3">
        <f>SUMIFS($V$2:$V$10,$R$2:$R$10,F164)</f>
        <v>0</v>
      </c>
      <c r="M164" s="3">
        <f>SUMIFS($U$2:$U$10,$R$2:$R$10,D164)</f>
        <v>0.05</v>
      </c>
    </row>
    <row r="165" spans="1:13" x14ac:dyDescent="0.25">
      <c r="A165" s="3">
        <f>(A$2+A$2*M165+A$2*L165)*(1+K165)</f>
        <v>519.20000000000005</v>
      </c>
      <c r="B165" s="3">
        <f>(B$2+B$2*M165+B$2*L165)*(1+K165)</f>
        <v>603.90000000000009</v>
      </c>
      <c r="C165" s="3">
        <f>(C$2+C$2*M165+C$2*L165)*(1+K165)</f>
        <v>634.69999999999993</v>
      </c>
      <c r="D165" s="3">
        <v>5</v>
      </c>
      <c r="E165" s="3">
        <v>0</v>
      </c>
      <c r="F165" s="3">
        <v>3</v>
      </c>
      <c r="G165" s="3">
        <f>SUMIFS($S$2:$S$10,$R$2:$R$10,D165)</f>
        <v>10</v>
      </c>
      <c r="H165" s="3">
        <f>SUMIFS($S$2:$S$10,$R$2:$R$10,E165)</f>
        <v>0</v>
      </c>
      <c r="I165" s="3">
        <f>SUMIFS($S$2:$S$10,$R$2:$R$10,F165)</f>
        <v>4</v>
      </c>
      <c r="J165" s="3">
        <f>SUM(G165:I165)</f>
        <v>14</v>
      </c>
      <c r="K165" s="3">
        <f>SUMIFS($T$2:$T$10,$R$2:$R$10,E165)</f>
        <v>0</v>
      </c>
      <c r="L165" s="3">
        <f>SUMIFS($V$2:$V$10,$R$2:$R$10,F165)</f>
        <v>0.03</v>
      </c>
      <c r="M165" s="3">
        <f>SUMIFS($U$2:$U$10,$R$2:$R$10,D165)</f>
        <v>7.0000000000000007E-2</v>
      </c>
    </row>
    <row r="166" spans="1:13" x14ac:dyDescent="0.25">
      <c r="A166" s="3">
        <f>(A$2+A$2*M166+A$2*L166)*(1+K166)</f>
        <v>596.79679999999996</v>
      </c>
      <c r="B166" s="3">
        <f>(B$2+B$2*M166+B$2*L166)*(1+K166)</f>
        <v>694.15560000000005</v>
      </c>
      <c r="C166" s="3">
        <f>(C$2+C$2*M166+C$2*L166)*(1+K166)</f>
        <v>729.55879999999991</v>
      </c>
      <c r="D166" s="3">
        <v>5</v>
      </c>
      <c r="E166" s="3">
        <v>2</v>
      </c>
      <c r="F166" s="3">
        <v>2</v>
      </c>
      <c r="G166" s="3">
        <f>SUMIFS($S$2:$S$10,$R$2:$R$10,D166)</f>
        <v>10</v>
      </c>
      <c r="H166" s="3">
        <f>SUMIFS($S$2:$S$10,$R$2:$R$10,E166)</f>
        <v>2</v>
      </c>
      <c r="I166" s="3">
        <f>SUMIFS($S$2:$S$10,$R$2:$R$10,F166)</f>
        <v>2</v>
      </c>
      <c r="J166" s="3">
        <f>SUM(G166:I166)</f>
        <v>14</v>
      </c>
      <c r="K166" s="3">
        <f>SUMIFS($T$2:$T$10,$R$2:$R$10,E166)</f>
        <v>0.16</v>
      </c>
      <c r="L166" s="3">
        <f>SUMIFS($V$2:$V$10,$R$2:$R$10,F166)</f>
        <v>0.02</v>
      </c>
      <c r="M166" s="3">
        <f>SUMIFS($U$2:$U$10,$R$2:$R$10,D166)</f>
        <v>7.0000000000000007E-2</v>
      </c>
    </row>
    <row r="167" spans="1:13" x14ac:dyDescent="0.25">
      <c r="A167" s="3">
        <f>(A$2+A$2*M167+A$2*L167)*(1+K167)</f>
        <v>600.99760000000003</v>
      </c>
      <c r="B167" s="3">
        <f>(B$2+B$2*M167+B$2*L167)*(1+K167)</f>
        <v>699.04169999999999</v>
      </c>
      <c r="C167" s="3">
        <f>(C$2+C$2*M167+C$2*L167)*(1+K167)</f>
        <v>734.69409999999993</v>
      </c>
      <c r="D167" s="3">
        <v>5</v>
      </c>
      <c r="E167" s="3">
        <v>3</v>
      </c>
      <c r="F167" s="3">
        <v>0</v>
      </c>
      <c r="G167" s="3">
        <f>SUMIFS($S$2:$S$10,$R$2:$R$10,D167)</f>
        <v>10</v>
      </c>
      <c r="H167" s="3">
        <f>SUMIFS($S$2:$S$10,$R$2:$R$10,E167)</f>
        <v>4</v>
      </c>
      <c r="I167" s="3">
        <f>SUMIFS($S$2:$S$10,$R$2:$R$10,F167)</f>
        <v>0</v>
      </c>
      <c r="J167" s="3">
        <f>SUM(G167:I167)</f>
        <v>14</v>
      </c>
      <c r="K167" s="3">
        <f>SUMIFS($T$2:$T$10,$R$2:$R$10,E167)</f>
        <v>0.19</v>
      </c>
      <c r="L167" s="3">
        <f>SUMIFS($V$2:$V$10,$R$2:$R$10,F167)</f>
        <v>0</v>
      </c>
      <c r="M167" s="3">
        <f>SUMIFS($U$2:$U$10,$R$2:$R$10,D167)</f>
        <v>7.0000000000000007E-2</v>
      </c>
    </row>
    <row r="168" spans="1:13" x14ac:dyDescent="0.25">
      <c r="A168" s="2">
        <f>(A$2+A$2*K168+A$2*M168)*(1+L168)</f>
        <v>598.87360000000001</v>
      </c>
      <c r="B168" s="2">
        <f>(B$2+B$2*K168+B$2*M168)*(1+L168)</f>
        <v>696.57119999999998</v>
      </c>
      <c r="C168" s="2">
        <f>(C$2+C$2*K168+C$2*M168)*(1+L168)</f>
        <v>732.09760000000006</v>
      </c>
      <c r="D168" s="2">
        <v>4</v>
      </c>
      <c r="E168" s="2">
        <v>0</v>
      </c>
      <c r="F168" s="2">
        <v>4</v>
      </c>
      <c r="G168" s="2">
        <f>SUMIFS($S$2:$S$10,$R$2:$R$10,D168)</f>
        <v>7</v>
      </c>
      <c r="H168" s="2">
        <f>SUMIFS($S$2:$S$10,$R$2:$R$10,E168)</f>
        <v>0</v>
      </c>
      <c r="I168" s="2">
        <f>SUMIFS($S$2:$S$10,$R$2:$R$10,F168)</f>
        <v>7</v>
      </c>
      <c r="J168" s="2">
        <f>SUM(G168:I168)</f>
        <v>14</v>
      </c>
      <c r="K168" s="2">
        <f>SUMIFS($U$2:$U$10,$R$2:$R$10,E168)</f>
        <v>0</v>
      </c>
      <c r="L168" s="2">
        <f>SUMIFS($T$2:$T$10,$R$2:$R$10,F168)</f>
        <v>0.22</v>
      </c>
      <c r="M168" s="2">
        <f>SUMIFS($V$2:$V$10,$R$2:$R$10,D168)</f>
        <v>0.04</v>
      </c>
    </row>
    <row r="169" spans="1:13" x14ac:dyDescent="0.25">
      <c r="A169" s="2">
        <f>(A$2+A$2*K169+A$2*M169)*(1+L169)</f>
        <v>514.48</v>
      </c>
      <c r="B169" s="2">
        <f>(B$2+B$2*K169+B$2*M169)*(1+L169)</f>
        <v>598.41000000000008</v>
      </c>
      <c r="C169" s="2">
        <f>(C$2+C$2*K169+C$2*M169)*(1+L169)</f>
        <v>628.93000000000006</v>
      </c>
      <c r="D169" s="2">
        <v>4</v>
      </c>
      <c r="E169" s="2">
        <v>4</v>
      </c>
      <c r="F169" s="2">
        <v>0</v>
      </c>
      <c r="G169" s="2">
        <f>SUMIFS($S$2:$S$10,$R$2:$R$10,D169)</f>
        <v>7</v>
      </c>
      <c r="H169" s="2">
        <f>SUMIFS($S$2:$S$10,$R$2:$R$10,E169)</f>
        <v>7</v>
      </c>
      <c r="I169" s="2">
        <f>SUMIFS($S$2:$S$10,$R$2:$R$10,F169)</f>
        <v>0</v>
      </c>
      <c r="J169" s="2">
        <f>SUM(G169:I169)</f>
        <v>14</v>
      </c>
      <c r="K169" s="2">
        <f>SUMIFS($U$2:$U$10,$R$2:$R$10,E169)</f>
        <v>0.05</v>
      </c>
      <c r="L169" s="2">
        <f>SUMIFS($T$2:$T$10,$R$2:$R$10,F169)</f>
        <v>0</v>
      </c>
      <c r="M169" s="2">
        <f>SUMIFS($V$2:$V$10,$R$2:$R$10,D169)</f>
        <v>0.04</v>
      </c>
    </row>
    <row r="170" spans="1:13" x14ac:dyDescent="0.25">
      <c r="A170" s="2">
        <f>(A$2+A$2*K170+A$2*M170)*(1+L170)</f>
        <v>589.76400000000001</v>
      </c>
      <c r="B170" s="2">
        <f>(B$2+B$2*K170+B$2*M170)*(1+L170)</f>
        <v>685.97550000000001</v>
      </c>
      <c r="C170" s="2">
        <f>(C$2+C$2*K170+C$2*M170)*(1+L170)</f>
        <v>720.9615</v>
      </c>
      <c r="D170" s="2">
        <v>5</v>
      </c>
      <c r="E170" s="2">
        <v>0</v>
      </c>
      <c r="F170" s="2">
        <v>3</v>
      </c>
      <c r="G170" s="2">
        <f>SUMIFS($S$2:$S$10,$R$2:$R$10,D170)</f>
        <v>10</v>
      </c>
      <c r="H170" s="2">
        <f>SUMIFS($S$2:$S$10,$R$2:$R$10,E170)</f>
        <v>0</v>
      </c>
      <c r="I170" s="2">
        <f>SUMIFS($S$2:$S$10,$R$2:$R$10,F170)</f>
        <v>4</v>
      </c>
      <c r="J170" s="2">
        <f>SUM(G170:I170)</f>
        <v>14</v>
      </c>
      <c r="K170" s="2">
        <f>SUMIFS($U$2:$U$10,$R$2:$R$10,E170)</f>
        <v>0</v>
      </c>
      <c r="L170" s="2">
        <f>SUMIFS($T$2:$T$10,$R$2:$R$10,F170)</f>
        <v>0.19</v>
      </c>
      <c r="M170" s="2">
        <f>SUMIFS($V$2:$V$10,$R$2:$R$10,D170)</f>
        <v>0.05</v>
      </c>
    </row>
    <row r="171" spans="1:13" x14ac:dyDescent="0.25">
      <c r="A171" s="2">
        <f>(A$2+A$2*K171+A$2*M171)*(1+L171)</f>
        <v>585.84640000000002</v>
      </c>
      <c r="B171" s="2">
        <f>(B$2+B$2*K171+B$2*M171)*(1+L171)</f>
        <v>681.41880000000003</v>
      </c>
      <c r="C171" s="2">
        <f>(C$2+C$2*K171+C$2*M171)*(1+L171)</f>
        <v>716.17239999999993</v>
      </c>
      <c r="D171" s="2">
        <v>5</v>
      </c>
      <c r="E171" s="2">
        <v>2</v>
      </c>
      <c r="F171" s="2">
        <v>2</v>
      </c>
      <c r="G171" s="2">
        <f>SUMIFS($S$2:$S$10,$R$2:$R$10,D171)</f>
        <v>10</v>
      </c>
      <c r="H171" s="2">
        <f>SUMIFS($S$2:$S$10,$R$2:$R$10,E171)</f>
        <v>2</v>
      </c>
      <c r="I171" s="2">
        <f>SUMIFS($S$2:$S$10,$R$2:$R$10,F171)</f>
        <v>2</v>
      </c>
      <c r="J171" s="2">
        <f>SUM(G171:I171)</f>
        <v>14</v>
      </c>
      <c r="K171" s="2">
        <f>SUMIFS($U$2:$U$10,$R$2:$R$10,E171)</f>
        <v>0.02</v>
      </c>
      <c r="L171" s="2">
        <f>SUMIFS($T$2:$T$10,$R$2:$R$10,F171)</f>
        <v>0.16</v>
      </c>
      <c r="M171" s="2">
        <f>SUMIFS($V$2:$V$10,$R$2:$R$10,D171)</f>
        <v>0.05</v>
      </c>
    </row>
    <row r="172" spans="1:13" x14ac:dyDescent="0.25">
      <c r="A172" s="2">
        <f>(A$2+A$2*K172+A$2*M172)*(1+L172)</f>
        <v>509.76000000000005</v>
      </c>
      <c r="B172" s="2">
        <f>(B$2+B$2*K172+B$2*M172)*(1+L172)</f>
        <v>592.92000000000007</v>
      </c>
      <c r="C172" s="2">
        <f>(C$2+C$2*K172+C$2*M172)*(1+L172)</f>
        <v>623.16</v>
      </c>
      <c r="D172" s="2">
        <v>5</v>
      </c>
      <c r="E172" s="2">
        <v>3</v>
      </c>
      <c r="F172" s="2">
        <v>0</v>
      </c>
      <c r="G172" s="2">
        <f>SUMIFS($S$2:$S$10,$R$2:$R$10,D172)</f>
        <v>10</v>
      </c>
      <c r="H172" s="2">
        <f>SUMIFS($S$2:$S$10,$R$2:$R$10,E172)</f>
        <v>4</v>
      </c>
      <c r="I172" s="2">
        <f>SUMIFS($S$2:$S$10,$R$2:$R$10,F172)</f>
        <v>0</v>
      </c>
      <c r="J172" s="2">
        <f>SUM(G172:I172)</f>
        <v>14</v>
      </c>
      <c r="K172" s="2">
        <f>SUMIFS($U$2:$U$10,$R$2:$R$10,E172)</f>
        <v>0.03</v>
      </c>
      <c r="L172" s="2">
        <f>SUMIFS($T$2:$T$10,$R$2:$R$10,F172)</f>
        <v>0</v>
      </c>
      <c r="M172" s="2">
        <f>SUMIFS($V$2:$V$10,$R$2:$R$10,D172)</f>
        <v>0.05</v>
      </c>
    </row>
    <row r="173" spans="1:13" x14ac:dyDescent="0.25">
      <c r="A173" s="1">
        <f>(A$2+A$2*K173+A$2*L173)*(1+M173)</f>
        <v>604.63200000000006</v>
      </c>
      <c r="B173" s="1">
        <f>(B$2+B$2*K173+B$2*L173)*(1+M173)</f>
        <v>703.26900000000001</v>
      </c>
      <c r="C173" s="1">
        <f>(C$2+C$2*K173+C$2*L173)*(1+M173)</f>
        <v>739.13700000000006</v>
      </c>
      <c r="D173" s="1">
        <v>4</v>
      </c>
      <c r="E173" s="1">
        <v>1</v>
      </c>
      <c r="F173" s="1">
        <v>4</v>
      </c>
      <c r="G173" s="1">
        <f>SUMIFS($S$2:$S$10,$R$2:$R$10,D173)</f>
        <v>7</v>
      </c>
      <c r="H173" s="1">
        <f>SUMIFS($S$2:$S$10,$R$2:$R$10,E173)</f>
        <v>1</v>
      </c>
      <c r="I173" s="1">
        <f>SUMIFS($S$2:$S$10,$R$2:$R$10,F173)</f>
        <v>7</v>
      </c>
      <c r="J173" s="1">
        <f>SUM(G173:I173)</f>
        <v>15</v>
      </c>
      <c r="K173" s="1">
        <f>SUMIFS($U$2:$U$10,$R$2:$R$10,E173)</f>
        <v>0.01</v>
      </c>
      <c r="L173" s="1">
        <f>SUMIFS($V$2:$V$10,$R$2:$R$10,F173)</f>
        <v>0.04</v>
      </c>
      <c r="M173" s="1">
        <f>SUMIFS($T$2:$T$10,$R$2:$R$10,D173)</f>
        <v>0.22</v>
      </c>
    </row>
    <row r="174" spans="1:13" x14ac:dyDescent="0.25">
      <c r="A174" s="1">
        <f>(A$2+A$2*K174+A$2*L174)*(1+M174)</f>
        <v>610.3904</v>
      </c>
      <c r="B174" s="1">
        <f>(B$2+B$2*K174+B$2*L174)*(1+M174)</f>
        <v>709.96680000000003</v>
      </c>
      <c r="C174" s="1">
        <f>(C$2+C$2*K174+C$2*L174)*(1+M174)</f>
        <v>746.17639999999983</v>
      </c>
      <c r="D174" s="1">
        <v>4</v>
      </c>
      <c r="E174" s="1">
        <v>3</v>
      </c>
      <c r="F174" s="1">
        <v>3</v>
      </c>
      <c r="G174" s="1">
        <f>SUMIFS($S$2:$S$10,$R$2:$R$10,D174)</f>
        <v>7</v>
      </c>
      <c r="H174" s="1">
        <f>SUMIFS($S$2:$S$10,$R$2:$R$10,E174)</f>
        <v>4</v>
      </c>
      <c r="I174" s="1">
        <f>SUMIFS($S$2:$S$10,$R$2:$R$10,F174)</f>
        <v>4</v>
      </c>
      <c r="J174" s="1">
        <f>SUM(G174:I174)</f>
        <v>15</v>
      </c>
      <c r="K174" s="1">
        <f>SUMIFS($U$2:$U$10,$R$2:$R$10,E174)</f>
        <v>0.03</v>
      </c>
      <c r="L174" s="1">
        <f>SUMIFS($V$2:$V$10,$R$2:$R$10,F174)</f>
        <v>0.03</v>
      </c>
      <c r="M174" s="1">
        <f>SUMIFS($T$2:$T$10,$R$2:$R$10,D174)</f>
        <v>0.22</v>
      </c>
    </row>
    <row r="175" spans="1:13" x14ac:dyDescent="0.25">
      <c r="A175" s="1">
        <f>(A$2+A$2*K175+A$2*L175)*(1+M175)</f>
        <v>610.3904</v>
      </c>
      <c r="B175" s="1">
        <f>(B$2+B$2*K175+B$2*L175)*(1+M175)</f>
        <v>709.96680000000003</v>
      </c>
      <c r="C175" s="1">
        <f>(C$2+C$2*K175+C$2*L175)*(1+M175)</f>
        <v>746.17639999999994</v>
      </c>
      <c r="D175" s="1">
        <v>4</v>
      </c>
      <c r="E175" s="1">
        <v>4</v>
      </c>
      <c r="F175" s="1">
        <v>1</v>
      </c>
      <c r="G175" s="1">
        <f>SUMIFS($S$2:$S$10,$R$2:$R$10,D175)</f>
        <v>7</v>
      </c>
      <c r="H175" s="1">
        <f>SUMIFS($S$2:$S$10,$R$2:$R$10,E175)</f>
        <v>7</v>
      </c>
      <c r="I175" s="1">
        <f>SUMIFS($S$2:$S$10,$R$2:$R$10,F175)</f>
        <v>1</v>
      </c>
      <c r="J175" s="1">
        <f>SUM(G175:I175)</f>
        <v>15</v>
      </c>
      <c r="K175" s="1">
        <f>SUMIFS($U$2:$U$10,$R$2:$R$10,E175)</f>
        <v>0.05</v>
      </c>
      <c r="L175" s="1">
        <f>SUMIFS($V$2:$V$10,$R$2:$R$10,F175)</f>
        <v>0.01</v>
      </c>
      <c r="M175" s="1">
        <f>SUMIFS($T$2:$T$10,$R$2:$R$10,D175)</f>
        <v>0.22</v>
      </c>
    </row>
    <row r="176" spans="1:13" x14ac:dyDescent="0.25">
      <c r="A176" s="1">
        <f>(A$2+A$2*K176+A$2*L176)*(1+M176)</f>
        <v>623.41760000000011</v>
      </c>
      <c r="B176" s="1">
        <f>(B$2+B$2*K176+B$2*L176)*(1+M176)</f>
        <v>725.11920000000009</v>
      </c>
      <c r="C176" s="1">
        <f>(C$2+C$2*K176+C$2*L176)*(1+M176)</f>
        <v>762.10159999999996</v>
      </c>
      <c r="D176" s="1">
        <v>5</v>
      </c>
      <c r="E176" s="1">
        <v>1</v>
      </c>
      <c r="F176" s="1">
        <v>3</v>
      </c>
      <c r="G176" s="1">
        <f>SUMIFS($S$2:$S$10,$R$2:$R$10,D176)</f>
        <v>10</v>
      </c>
      <c r="H176" s="1">
        <f>SUMIFS($S$2:$S$10,$R$2:$R$10,E176)</f>
        <v>1</v>
      </c>
      <c r="I176" s="1">
        <f>SUMIFS($S$2:$S$10,$R$2:$R$10,F176)</f>
        <v>4</v>
      </c>
      <c r="J176" s="1">
        <f>SUM(G176:I176)</f>
        <v>15</v>
      </c>
      <c r="K176" s="1">
        <f>SUMIFS($U$2:$U$10,$R$2:$R$10,E176)</f>
        <v>0.01</v>
      </c>
      <c r="L176" s="1">
        <f>SUMIFS($V$2:$V$10,$R$2:$R$10,F176)</f>
        <v>0.03</v>
      </c>
      <c r="M176" s="1">
        <f>SUMIFS($T$2:$T$10,$R$2:$R$10,D176)</f>
        <v>0.27</v>
      </c>
    </row>
    <row r="177" spans="1:13" x14ac:dyDescent="0.25">
      <c r="A177" s="1">
        <f>(A$2+A$2*K177+A$2*L177)*(1+M177)</f>
        <v>623.41760000000011</v>
      </c>
      <c r="B177" s="1">
        <f>(B$2+B$2*K177+B$2*L177)*(1+M177)</f>
        <v>725.11920000000009</v>
      </c>
      <c r="C177" s="1">
        <f>(C$2+C$2*K177+C$2*L177)*(1+M177)</f>
        <v>762.10159999999996</v>
      </c>
      <c r="D177" s="1">
        <v>5</v>
      </c>
      <c r="E177" s="1">
        <v>3</v>
      </c>
      <c r="F177" s="1">
        <v>1</v>
      </c>
      <c r="G177" s="1">
        <f>SUMIFS($S$2:$S$10,$R$2:$R$10,D177)</f>
        <v>10</v>
      </c>
      <c r="H177" s="1">
        <f>SUMIFS($S$2:$S$10,$R$2:$R$10,E177)</f>
        <v>4</v>
      </c>
      <c r="I177" s="1">
        <f>SUMIFS($S$2:$S$10,$R$2:$R$10,F177)</f>
        <v>1</v>
      </c>
      <c r="J177" s="1">
        <f>SUM(G177:I177)</f>
        <v>15</v>
      </c>
      <c r="K177" s="1">
        <f>SUMIFS($U$2:$U$10,$R$2:$R$10,E177)</f>
        <v>0.03</v>
      </c>
      <c r="L177" s="1">
        <f>SUMIFS($V$2:$V$10,$R$2:$R$10,F177)</f>
        <v>0.01</v>
      </c>
      <c r="M177" s="1">
        <f>SUMIFS($T$2:$T$10,$R$2:$R$10,D177)</f>
        <v>0.27</v>
      </c>
    </row>
    <row r="178" spans="1:13" x14ac:dyDescent="0.25">
      <c r="A178" s="1">
        <f>(A$2+A$2*K178+A$2*L178)*(1+M178)</f>
        <v>623.04000000000008</v>
      </c>
      <c r="B178" s="1">
        <f>(B$2+B$2*K178+B$2*L178)*(1+M178)</f>
        <v>724.68000000000006</v>
      </c>
      <c r="C178" s="1">
        <f>(C$2+C$2*K178+C$2*L178)*(1+M178)</f>
        <v>761.64</v>
      </c>
      <c r="D178" s="1">
        <v>6</v>
      </c>
      <c r="E178" s="1">
        <v>0</v>
      </c>
      <c r="F178" s="1">
        <v>0</v>
      </c>
      <c r="G178" s="1">
        <f>SUMIFS($S$2:$S$10,$R$2:$R$10,D178)</f>
        <v>15</v>
      </c>
      <c r="H178" s="1">
        <f>SUMIFS($S$2:$S$10,$R$2:$R$10,E178)</f>
        <v>0</v>
      </c>
      <c r="I178" s="1">
        <f>SUMIFS($S$2:$S$10,$R$2:$R$10,F178)</f>
        <v>0</v>
      </c>
      <c r="J178" s="1">
        <f>SUM(G178:I178)</f>
        <v>15</v>
      </c>
      <c r="K178" s="1">
        <f>SUMIFS($U$2:$U$10,$R$2:$R$10,E178)</f>
        <v>0</v>
      </c>
      <c r="L178" s="1">
        <f>SUMIFS($V$2:$V$10,$R$2:$R$10,F178)</f>
        <v>0</v>
      </c>
      <c r="M178" s="1">
        <f>SUMIFS($T$2:$T$10,$R$2:$R$10,D178)</f>
        <v>0.32</v>
      </c>
    </row>
    <row r="179" spans="1:13" x14ac:dyDescent="0.25">
      <c r="A179" s="3">
        <f>(A$2+A$2*M179+A$2*L179)*(1+K179)</f>
        <v>581.36239999999998</v>
      </c>
      <c r="B179" s="3">
        <f>(B$2+B$2*M179+B$2*L179)*(1+K179)</f>
        <v>676.20330000000001</v>
      </c>
      <c r="C179" s="3">
        <f>(C$2+C$2*M179+C$2*L179)*(1+K179)</f>
        <v>710.69090000000006</v>
      </c>
      <c r="D179" s="3">
        <v>4</v>
      </c>
      <c r="E179" s="3">
        <v>1</v>
      </c>
      <c r="F179" s="3">
        <v>4</v>
      </c>
      <c r="G179" s="3">
        <f>SUMIFS($S$2:$S$10,$R$2:$R$10,D179)</f>
        <v>7</v>
      </c>
      <c r="H179" s="3">
        <f>SUMIFS($S$2:$S$10,$R$2:$R$10,E179)</f>
        <v>1</v>
      </c>
      <c r="I179" s="3">
        <f>SUMIFS($S$2:$S$10,$R$2:$R$10,F179)</f>
        <v>7</v>
      </c>
      <c r="J179" s="3">
        <f>SUM(G179:I179)</f>
        <v>15</v>
      </c>
      <c r="K179" s="3">
        <f>SUMIFS($T$2:$T$10,$R$2:$R$10,E179)</f>
        <v>0.13</v>
      </c>
      <c r="L179" s="3">
        <f>SUMIFS($V$2:$V$10,$R$2:$R$10,F179)</f>
        <v>0.04</v>
      </c>
      <c r="M179" s="3">
        <f>SUMIFS($U$2:$U$10,$R$2:$R$10,D179)</f>
        <v>0.05</v>
      </c>
    </row>
    <row r="180" spans="1:13" x14ac:dyDescent="0.25">
      <c r="A180" s="3">
        <f>(A$2+A$2*M180+A$2*L180)*(1+K180)</f>
        <v>606.61440000000005</v>
      </c>
      <c r="B180" s="3">
        <f>(B$2+B$2*M180+B$2*L180)*(1+K180)</f>
        <v>705.5748000000001</v>
      </c>
      <c r="C180" s="3">
        <f>(C$2+C$2*M180+C$2*L180)*(1+K180)</f>
        <v>741.56039999999996</v>
      </c>
      <c r="D180" s="3">
        <v>4</v>
      </c>
      <c r="E180" s="3">
        <v>3</v>
      </c>
      <c r="F180" s="3">
        <v>3</v>
      </c>
      <c r="G180" s="3">
        <f>SUMIFS($S$2:$S$10,$R$2:$R$10,D180)</f>
        <v>7</v>
      </c>
      <c r="H180" s="3">
        <f>SUMIFS($S$2:$S$10,$R$2:$R$10,E180)</f>
        <v>4</v>
      </c>
      <c r="I180" s="3">
        <f>SUMIFS($S$2:$S$10,$R$2:$R$10,F180)</f>
        <v>4</v>
      </c>
      <c r="J180" s="3">
        <f>SUM(G180:I180)</f>
        <v>15</v>
      </c>
      <c r="K180" s="3">
        <f>SUMIFS($T$2:$T$10,$R$2:$R$10,E180)</f>
        <v>0.19</v>
      </c>
      <c r="L180" s="3">
        <f>SUMIFS($V$2:$V$10,$R$2:$R$10,F180)</f>
        <v>0.03</v>
      </c>
      <c r="M180" s="3">
        <f>SUMIFS($U$2:$U$10,$R$2:$R$10,D180)</f>
        <v>0.05</v>
      </c>
    </row>
    <row r="181" spans="1:13" x14ac:dyDescent="0.25">
      <c r="A181" s="3">
        <f>(A$2+A$2*M181+A$2*L181)*(1+K181)</f>
        <v>610.3904</v>
      </c>
      <c r="B181" s="3">
        <f>(B$2+B$2*M181+B$2*L181)*(1+K181)</f>
        <v>709.96680000000003</v>
      </c>
      <c r="C181" s="3">
        <f>(C$2+C$2*M181+C$2*L181)*(1+K181)</f>
        <v>746.17639999999994</v>
      </c>
      <c r="D181" s="3">
        <v>4</v>
      </c>
      <c r="E181" s="3">
        <v>4</v>
      </c>
      <c r="F181" s="3">
        <v>1</v>
      </c>
      <c r="G181" s="3">
        <f>SUMIFS($S$2:$S$10,$R$2:$R$10,D181)</f>
        <v>7</v>
      </c>
      <c r="H181" s="3">
        <f>SUMIFS($S$2:$S$10,$R$2:$R$10,E181)</f>
        <v>7</v>
      </c>
      <c r="I181" s="3">
        <f>SUMIFS($S$2:$S$10,$R$2:$R$10,F181)</f>
        <v>1</v>
      </c>
      <c r="J181" s="3">
        <f>SUM(G181:I181)</f>
        <v>15</v>
      </c>
      <c r="K181" s="3">
        <f>SUMIFS($T$2:$T$10,$R$2:$R$10,E181)</f>
        <v>0.22</v>
      </c>
      <c r="L181" s="3">
        <f>SUMIFS($V$2:$V$10,$R$2:$R$10,F181)</f>
        <v>0.01</v>
      </c>
      <c r="M181" s="3">
        <f>SUMIFS($U$2:$U$10,$R$2:$R$10,D181)</f>
        <v>0.05</v>
      </c>
    </row>
    <row r="182" spans="1:13" x14ac:dyDescent="0.25">
      <c r="A182" s="3">
        <f>(A$2+A$2*M182+A$2*L182)*(1+K182)</f>
        <v>586.69600000000003</v>
      </c>
      <c r="B182" s="3">
        <f>(B$2+B$2*M182+B$2*L182)*(1+K182)</f>
        <v>682.40700000000004</v>
      </c>
      <c r="C182" s="3">
        <f>(C$2+C$2*M182+C$2*L182)*(1+K182)</f>
        <v>717.2109999999999</v>
      </c>
      <c r="D182" s="3">
        <v>5</v>
      </c>
      <c r="E182" s="3">
        <v>1</v>
      </c>
      <c r="F182" s="3">
        <v>3</v>
      </c>
      <c r="G182" s="3">
        <f>SUMIFS($S$2:$S$10,$R$2:$R$10,D182)</f>
        <v>10</v>
      </c>
      <c r="H182" s="3">
        <f>SUMIFS($S$2:$S$10,$R$2:$R$10,E182)</f>
        <v>1</v>
      </c>
      <c r="I182" s="3">
        <f>SUMIFS($S$2:$S$10,$R$2:$R$10,F182)</f>
        <v>4</v>
      </c>
      <c r="J182" s="3">
        <f>SUM(G182:I182)</f>
        <v>15</v>
      </c>
      <c r="K182" s="3">
        <f>SUMIFS($T$2:$T$10,$R$2:$R$10,E182)</f>
        <v>0.13</v>
      </c>
      <c r="L182" s="3">
        <f>SUMIFS($V$2:$V$10,$R$2:$R$10,F182)</f>
        <v>0.03</v>
      </c>
      <c r="M182" s="3">
        <f>SUMIFS($U$2:$U$10,$R$2:$R$10,D182)</f>
        <v>7.0000000000000007E-2</v>
      </c>
    </row>
    <row r="183" spans="1:13" x14ac:dyDescent="0.25">
      <c r="A183" s="3">
        <f>(A$2+A$2*M183+A$2*L183)*(1+K183)</f>
        <v>606.61440000000005</v>
      </c>
      <c r="B183" s="3">
        <f>(B$2+B$2*M183+B$2*L183)*(1+K183)</f>
        <v>705.5748000000001</v>
      </c>
      <c r="C183" s="3">
        <f>(C$2+C$2*M183+C$2*L183)*(1+K183)</f>
        <v>741.56039999999996</v>
      </c>
      <c r="D183" s="3">
        <v>5</v>
      </c>
      <c r="E183" s="3">
        <v>3</v>
      </c>
      <c r="F183" s="3">
        <v>1</v>
      </c>
      <c r="G183" s="3">
        <f>SUMIFS($S$2:$S$10,$R$2:$R$10,D183)</f>
        <v>10</v>
      </c>
      <c r="H183" s="3">
        <f>SUMIFS($S$2:$S$10,$R$2:$R$10,E183)</f>
        <v>4</v>
      </c>
      <c r="I183" s="3">
        <f>SUMIFS($S$2:$S$10,$R$2:$R$10,F183)</f>
        <v>1</v>
      </c>
      <c r="J183" s="3">
        <f>SUM(G183:I183)</f>
        <v>15</v>
      </c>
      <c r="K183" s="3">
        <f>SUMIFS($T$2:$T$10,$R$2:$R$10,E183)</f>
        <v>0.19</v>
      </c>
      <c r="L183" s="3">
        <f>SUMIFS($V$2:$V$10,$R$2:$R$10,F183)</f>
        <v>0.01</v>
      </c>
      <c r="M183" s="3">
        <f>SUMIFS($U$2:$U$10,$R$2:$R$10,D183)</f>
        <v>7.0000000000000007E-2</v>
      </c>
    </row>
    <row r="184" spans="1:13" x14ac:dyDescent="0.25">
      <c r="A184" s="3">
        <f>(A$2+A$2*M184+A$2*L184)*(1+K184)</f>
        <v>514.48</v>
      </c>
      <c r="B184" s="3">
        <f>(B$2+B$2*M184+B$2*L184)*(1+K184)</f>
        <v>598.41</v>
      </c>
      <c r="C184" s="3">
        <f>(C$2+C$2*M184+C$2*L184)*(1+K184)</f>
        <v>628.92999999999995</v>
      </c>
      <c r="D184" s="3">
        <v>6</v>
      </c>
      <c r="E184" s="3">
        <v>0</v>
      </c>
      <c r="F184" s="3">
        <v>0</v>
      </c>
      <c r="G184" s="3">
        <f>SUMIFS($S$2:$S$10,$R$2:$R$10,D184)</f>
        <v>15</v>
      </c>
      <c r="H184" s="3">
        <f>SUMIFS($S$2:$S$10,$R$2:$R$10,E184)</f>
        <v>0</v>
      </c>
      <c r="I184" s="3">
        <f>SUMIFS($S$2:$S$10,$R$2:$R$10,F184)</f>
        <v>0</v>
      </c>
      <c r="J184" s="3">
        <f>SUM(G184:I184)</f>
        <v>15</v>
      </c>
      <c r="K184" s="3">
        <f>SUMIFS($T$2:$T$10,$R$2:$R$10,E184)</f>
        <v>0</v>
      </c>
      <c r="L184" s="3">
        <f>SUMIFS($V$2:$V$10,$R$2:$R$10,F184)</f>
        <v>0</v>
      </c>
      <c r="M184" s="3">
        <f>SUMIFS($U$2:$U$10,$R$2:$R$10,D184)</f>
        <v>0.09</v>
      </c>
    </row>
    <row r="185" spans="1:13" x14ac:dyDescent="0.25">
      <c r="A185" s="2">
        <f>(A$2+A$2*K185+A$2*M185)*(1+L185)</f>
        <v>604.63200000000006</v>
      </c>
      <c r="B185" s="2">
        <f>(B$2+B$2*K185+B$2*M185)*(1+L185)</f>
        <v>703.26900000000001</v>
      </c>
      <c r="C185" s="2">
        <f>(C$2+C$2*K185+C$2*M185)*(1+L185)</f>
        <v>739.13700000000006</v>
      </c>
      <c r="D185" s="2">
        <v>4</v>
      </c>
      <c r="E185" s="2">
        <v>1</v>
      </c>
      <c r="F185" s="2">
        <v>4</v>
      </c>
      <c r="G185" s="2">
        <f>SUMIFS($S$2:$S$10,$R$2:$R$10,D185)</f>
        <v>7</v>
      </c>
      <c r="H185" s="2">
        <f>SUMIFS($S$2:$S$10,$R$2:$R$10,E185)</f>
        <v>1</v>
      </c>
      <c r="I185" s="2">
        <f>SUMIFS($S$2:$S$10,$R$2:$R$10,F185)</f>
        <v>7</v>
      </c>
      <c r="J185" s="2">
        <f>SUM(G185:I185)</f>
        <v>15</v>
      </c>
      <c r="K185" s="2">
        <f>SUMIFS($U$2:$U$10,$R$2:$R$10,E185)</f>
        <v>0.01</v>
      </c>
      <c r="L185" s="2">
        <f>SUMIFS($T$2:$T$10,$R$2:$R$10,F185)</f>
        <v>0.22</v>
      </c>
      <c r="M185" s="2">
        <f>SUMIFS($V$2:$V$10,$R$2:$R$10,D185)</f>
        <v>0.04</v>
      </c>
    </row>
    <row r="186" spans="1:13" x14ac:dyDescent="0.25">
      <c r="A186" s="2">
        <f>(A$2+A$2*K186+A$2*M186)*(1+L186)</f>
        <v>600.99760000000003</v>
      </c>
      <c r="B186" s="2">
        <f>(B$2+B$2*K186+B$2*M186)*(1+L186)</f>
        <v>699.04169999999999</v>
      </c>
      <c r="C186" s="2">
        <f>(C$2+C$2*K186+C$2*M186)*(1+L186)</f>
        <v>734.69409999999993</v>
      </c>
      <c r="D186" s="2">
        <v>4</v>
      </c>
      <c r="E186" s="2">
        <v>3</v>
      </c>
      <c r="F186" s="2">
        <v>3</v>
      </c>
      <c r="G186" s="2">
        <f>SUMIFS($S$2:$S$10,$R$2:$R$10,D186)</f>
        <v>7</v>
      </c>
      <c r="H186" s="2">
        <f>SUMIFS($S$2:$S$10,$R$2:$R$10,E186)</f>
        <v>4</v>
      </c>
      <c r="I186" s="2">
        <f>SUMIFS($S$2:$S$10,$R$2:$R$10,F186)</f>
        <v>4</v>
      </c>
      <c r="J186" s="2">
        <f>SUM(G186:I186)</f>
        <v>15</v>
      </c>
      <c r="K186" s="2">
        <f>SUMIFS($U$2:$U$10,$R$2:$R$10,E186)</f>
        <v>0.03</v>
      </c>
      <c r="L186" s="2">
        <f>SUMIFS($T$2:$T$10,$R$2:$R$10,F186)</f>
        <v>0.19</v>
      </c>
      <c r="M186" s="2">
        <f>SUMIFS($V$2:$V$10,$R$2:$R$10,D186)</f>
        <v>0.04</v>
      </c>
    </row>
    <row r="187" spans="1:13" x14ac:dyDescent="0.25">
      <c r="A187" s="2">
        <f>(A$2+A$2*K187+A$2*M187)*(1+L187)</f>
        <v>581.36239999999998</v>
      </c>
      <c r="B187" s="2">
        <f>(B$2+B$2*K187+B$2*M187)*(1+L187)</f>
        <v>676.20330000000001</v>
      </c>
      <c r="C187" s="2">
        <f>(C$2+C$2*K187+C$2*M187)*(1+L187)</f>
        <v>710.69090000000006</v>
      </c>
      <c r="D187" s="2">
        <v>4</v>
      </c>
      <c r="E187" s="2">
        <v>4</v>
      </c>
      <c r="F187" s="2">
        <v>1</v>
      </c>
      <c r="G187" s="2">
        <f>SUMIFS($S$2:$S$10,$R$2:$R$10,D187)</f>
        <v>7</v>
      </c>
      <c r="H187" s="2">
        <f>SUMIFS($S$2:$S$10,$R$2:$R$10,E187)</f>
        <v>7</v>
      </c>
      <c r="I187" s="2">
        <f>SUMIFS($S$2:$S$10,$R$2:$R$10,F187)</f>
        <v>1</v>
      </c>
      <c r="J187" s="2">
        <f>SUM(G187:I187)</f>
        <v>15</v>
      </c>
      <c r="K187" s="2">
        <f>SUMIFS($U$2:$U$10,$R$2:$R$10,E187)</f>
        <v>0.05</v>
      </c>
      <c r="L187" s="2">
        <f>SUMIFS($T$2:$T$10,$R$2:$R$10,F187)</f>
        <v>0.13</v>
      </c>
      <c r="M187" s="2">
        <f>SUMIFS($V$2:$V$10,$R$2:$R$10,D187)</f>
        <v>0.04</v>
      </c>
    </row>
    <row r="188" spans="1:13" x14ac:dyDescent="0.25">
      <c r="A188" s="2">
        <f>(A$2+A$2*K188+A$2*M188)*(1+L188)</f>
        <v>595.38080000000002</v>
      </c>
      <c r="B188" s="2">
        <f>(B$2+B$2*K188+B$2*M188)*(1+L188)</f>
        <v>692.5086</v>
      </c>
      <c r="C188" s="2">
        <f>(C$2+C$2*K188+C$2*M188)*(1+L188)</f>
        <v>727.82780000000002</v>
      </c>
      <c r="D188" s="2">
        <v>5</v>
      </c>
      <c r="E188" s="2">
        <v>1</v>
      </c>
      <c r="F188" s="2">
        <v>3</v>
      </c>
      <c r="G188" s="2">
        <f>SUMIFS($S$2:$S$10,$R$2:$R$10,D188)</f>
        <v>10</v>
      </c>
      <c r="H188" s="2">
        <f>SUMIFS($S$2:$S$10,$R$2:$R$10,E188)</f>
        <v>1</v>
      </c>
      <c r="I188" s="2">
        <f>SUMIFS($S$2:$S$10,$R$2:$R$10,F188)</f>
        <v>4</v>
      </c>
      <c r="J188" s="2">
        <f>SUM(G188:I188)</f>
        <v>15</v>
      </c>
      <c r="K188" s="2">
        <f>SUMIFS($U$2:$U$10,$R$2:$R$10,E188)</f>
        <v>0.01</v>
      </c>
      <c r="L188" s="2">
        <f>SUMIFS($T$2:$T$10,$R$2:$R$10,F188)</f>
        <v>0.19</v>
      </c>
      <c r="M188" s="2">
        <f>SUMIFS($V$2:$V$10,$R$2:$R$10,D188)</f>
        <v>0.05</v>
      </c>
    </row>
    <row r="189" spans="1:13" x14ac:dyDescent="0.25">
      <c r="A189" s="2">
        <f>(A$2+A$2*K189+A$2*M189)*(1+L189)</f>
        <v>576.02880000000005</v>
      </c>
      <c r="B189" s="2">
        <f>(B$2+B$2*K189+B$2*M189)*(1+L189)</f>
        <v>669.99959999999999</v>
      </c>
      <c r="C189" s="2">
        <f>(C$2+C$2*K189+C$2*M189)*(1+L189)</f>
        <v>704.17079999999987</v>
      </c>
      <c r="D189" s="2">
        <v>5</v>
      </c>
      <c r="E189" s="2">
        <v>3</v>
      </c>
      <c r="F189" s="2">
        <v>1</v>
      </c>
      <c r="G189" s="2">
        <f>SUMIFS($S$2:$S$10,$R$2:$R$10,D189)</f>
        <v>10</v>
      </c>
      <c r="H189" s="2">
        <f>SUMIFS($S$2:$S$10,$R$2:$R$10,E189)</f>
        <v>4</v>
      </c>
      <c r="I189" s="2">
        <f>SUMIFS($S$2:$S$10,$R$2:$R$10,F189)</f>
        <v>1</v>
      </c>
      <c r="J189" s="2">
        <f>SUM(G189:I189)</f>
        <v>15</v>
      </c>
      <c r="K189" s="2">
        <f>SUMIFS($U$2:$U$10,$R$2:$R$10,E189)</f>
        <v>0.03</v>
      </c>
      <c r="L189" s="2">
        <f>SUMIFS($T$2:$T$10,$R$2:$R$10,F189)</f>
        <v>0.13</v>
      </c>
      <c r="M189" s="2">
        <f>SUMIFS($V$2:$V$10,$R$2:$R$10,D189)</f>
        <v>0.05</v>
      </c>
    </row>
    <row r="190" spans="1:13" x14ac:dyDescent="0.25">
      <c r="A190" s="2">
        <f>(A$2+A$2*K190+A$2*M190)*(1+L190)</f>
        <v>500.32</v>
      </c>
      <c r="B190" s="2">
        <f>(B$2+B$2*K190+B$2*M190)*(1+L190)</f>
        <v>581.94000000000005</v>
      </c>
      <c r="C190" s="2">
        <f>(C$2+C$2*K190+C$2*M190)*(1+L190)</f>
        <v>611.62</v>
      </c>
      <c r="D190" s="2">
        <v>6</v>
      </c>
      <c r="E190" s="2">
        <v>0</v>
      </c>
      <c r="F190" s="2">
        <v>0</v>
      </c>
      <c r="G190" s="2">
        <f>SUMIFS($S$2:$S$10,$R$2:$R$10,D190)</f>
        <v>15</v>
      </c>
      <c r="H190" s="2">
        <f>SUMIFS($S$2:$S$10,$R$2:$R$10,E190)</f>
        <v>0</v>
      </c>
      <c r="I190" s="2">
        <f>SUMIFS($S$2:$S$10,$R$2:$R$10,F190)</f>
        <v>0</v>
      </c>
      <c r="J190" s="2">
        <f>SUM(G190:I190)</f>
        <v>15</v>
      </c>
      <c r="K190" s="2">
        <f>SUMIFS($U$2:$U$10,$R$2:$R$10,E190)</f>
        <v>0</v>
      </c>
      <c r="L190" s="2">
        <f>SUMIFS($T$2:$T$10,$R$2:$R$10,F190)</f>
        <v>0</v>
      </c>
      <c r="M190" s="2">
        <f>SUMIFS($V$2:$V$10,$R$2:$R$10,D190)</f>
        <v>0.06</v>
      </c>
    </row>
    <row r="191" spans="1:13" x14ac:dyDescent="0.25">
      <c r="A191" s="1">
        <f>(A$2+A$2*K191+A$2*L191)*(1+M191)</f>
        <v>610.3904</v>
      </c>
      <c r="B191" s="1">
        <f>(B$2+B$2*K191+B$2*L191)*(1+M191)</f>
        <v>709.96680000000003</v>
      </c>
      <c r="C191" s="1">
        <f>(C$2+C$2*K191+C$2*L191)*(1+M191)</f>
        <v>746.17639999999994</v>
      </c>
      <c r="D191" s="1">
        <v>4</v>
      </c>
      <c r="E191" s="1">
        <v>2</v>
      </c>
      <c r="F191" s="1">
        <v>4</v>
      </c>
      <c r="G191" s="1">
        <f>SUMIFS($S$2:$S$10,$R$2:$R$10,D191)</f>
        <v>7</v>
      </c>
      <c r="H191" s="1">
        <f>SUMIFS($S$2:$S$10,$R$2:$R$10,E191)</f>
        <v>2</v>
      </c>
      <c r="I191" s="1">
        <f>SUMIFS($S$2:$S$10,$R$2:$R$10,F191)</f>
        <v>7</v>
      </c>
      <c r="J191" s="1">
        <f>SUM(G191:I191)</f>
        <v>16</v>
      </c>
      <c r="K191" s="1">
        <f>SUMIFS($U$2:$U$10,$R$2:$R$10,E191)</f>
        <v>0.02</v>
      </c>
      <c r="L191" s="1">
        <f>SUMIFS($V$2:$V$10,$R$2:$R$10,F191)</f>
        <v>0.04</v>
      </c>
      <c r="M191" s="1">
        <f>SUMIFS($T$2:$T$10,$R$2:$R$10,D191)</f>
        <v>0.22</v>
      </c>
    </row>
    <row r="192" spans="1:13" x14ac:dyDescent="0.25">
      <c r="A192" s="1">
        <f>(A$2+A$2*K192+A$2*L192)*(1+M192)</f>
        <v>616.14880000000005</v>
      </c>
      <c r="B192" s="1">
        <f>(B$2+B$2*K192+B$2*L192)*(1+M192)</f>
        <v>716.66460000000006</v>
      </c>
      <c r="C192" s="1">
        <f>(C$2+C$2*K192+C$2*L192)*(1+M192)</f>
        <v>753.21579999999994</v>
      </c>
      <c r="D192" s="1">
        <v>4</v>
      </c>
      <c r="E192" s="1">
        <v>4</v>
      </c>
      <c r="F192" s="1">
        <v>2</v>
      </c>
      <c r="G192" s="1">
        <f>SUMIFS($S$2:$S$10,$R$2:$R$10,D192)</f>
        <v>7</v>
      </c>
      <c r="H192" s="1">
        <f>SUMIFS($S$2:$S$10,$R$2:$R$10,E192)</f>
        <v>7</v>
      </c>
      <c r="I192" s="1">
        <f>SUMIFS($S$2:$S$10,$R$2:$R$10,F192)</f>
        <v>2</v>
      </c>
      <c r="J192" s="1">
        <f>SUM(G192:I192)</f>
        <v>16</v>
      </c>
      <c r="K192" s="1">
        <f>SUMIFS($U$2:$U$10,$R$2:$R$10,E192)</f>
        <v>0.05</v>
      </c>
      <c r="L192" s="1">
        <f>SUMIFS($V$2:$V$10,$R$2:$R$10,F192)</f>
        <v>0.02</v>
      </c>
      <c r="M192" s="1">
        <f>SUMIFS($T$2:$T$10,$R$2:$R$10,D192)</f>
        <v>0.22</v>
      </c>
    </row>
    <row r="193" spans="1:13" x14ac:dyDescent="0.25">
      <c r="A193" s="1">
        <f>(A$2+A$2*K193+A$2*L193)*(1+M193)</f>
        <v>629.41200000000003</v>
      </c>
      <c r="B193" s="1">
        <f>(B$2+B$2*K193+B$2*L193)*(1+M193)</f>
        <v>732.09150000000011</v>
      </c>
      <c r="C193" s="1">
        <f>(C$2+C$2*K193+C$2*L193)*(1+M193)</f>
        <v>769.42949999999985</v>
      </c>
      <c r="D193" s="1">
        <v>5</v>
      </c>
      <c r="E193" s="1">
        <v>2</v>
      </c>
      <c r="F193" s="1">
        <v>3</v>
      </c>
      <c r="G193" s="1">
        <f>SUMIFS($S$2:$S$10,$R$2:$R$10,D193)</f>
        <v>10</v>
      </c>
      <c r="H193" s="1">
        <f>SUMIFS($S$2:$S$10,$R$2:$R$10,E193)</f>
        <v>2</v>
      </c>
      <c r="I193" s="1">
        <f>SUMIFS($S$2:$S$10,$R$2:$R$10,F193)</f>
        <v>4</v>
      </c>
      <c r="J193" s="1">
        <f>SUM(G193:I193)</f>
        <v>16</v>
      </c>
      <c r="K193" s="1">
        <f>SUMIFS($U$2:$U$10,$R$2:$R$10,E193)</f>
        <v>0.02</v>
      </c>
      <c r="L193" s="1">
        <f>SUMIFS($V$2:$V$10,$R$2:$R$10,F193)</f>
        <v>0.03</v>
      </c>
      <c r="M193" s="1">
        <f>SUMIFS($T$2:$T$10,$R$2:$R$10,D193)</f>
        <v>0.27</v>
      </c>
    </row>
    <row r="194" spans="1:13" x14ac:dyDescent="0.25">
      <c r="A194" s="1">
        <f>(A$2+A$2*K194+A$2*L194)*(1+M194)</f>
        <v>629.41200000000003</v>
      </c>
      <c r="B194" s="1">
        <f>(B$2+B$2*K194+B$2*L194)*(1+M194)</f>
        <v>732.09150000000011</v>
      </c>
      <c r="C194" s="1">
        <f>(C$2+C$2*K194+C$2*L194)*(1+M194)</f>
        <v>769.42949999999985</v>
      </c>
      <c r="D194" s="1">
        <v>5</v>
      </c>
      <c r="E194" s="1">
        <v>3</v>
      </c>
      <c r="F194" s="1">
        <v>2</v>
      </c>
      <c r="G194" s="1">
        <f>SUMIFS($S$2:$S$10,$R$2:$R$10,D194)</f>
        <v>10</v>
      </c>
      <c r="H194" s="1">
        <f>SUMIFS($S$2:$S$10,$R$2:$R$10,E194)</f>
        <v>4</v>
      </c>
      <c r="I194" s="1">
        <f>SUMIFS($S$2:$S$10,$R$2:$R$10,F194)</f>
        <v>2</v>
      </c>
      <c r="J194" s="1">
        <f>SUM(G194:I194)</f>
        <v>16</v>
      </c>
      <c r="K194" s="1">
        <f>SUMIFS($U$2:$U$10,$R$2:$R$10,E194)</f>
        <v>0.03</v>
      </c>
      <c r="L194" s="1">
        <f>SUMIFS($V$2:$V$10,$R$2:$R$10,F194)</f>
        <v>0.02</v>
      </c>
      <c r="M194" s="1">
        <f>SUMIFS($T$2:$T$10,$R$2:$R$10,D194)</f>
        <v>0.27</v>
      </c>
    </row>
    <row r="195" spans="1:13" x14ac:dyDescent="0.25">
      <c r="A195" s="1">
        <f>(A$2+A$2*K195+A$2*L195)*(1+M195)</f>
        <v>629.27040000000011</v>
      </c>
      <c r="B195" s="1">
        <f>(B$2+B$2*K195+B$2*L195)*(1+M195)</f>
        <v>731.92680000000007</v>
      </c>
      <c r="C195" s="1">
        <f>(C$2+C$2*K195+C$2*L195)*(1+M195)</f>
        <v>769.25639999999999</v>
      </c>
      <c r="D195" s="1">
        <v>6</v>
      </c>
      <c r="E195" s="1">
        <v>0</v>
      </c>
      <c r="F195" s="1">
        <v>1</v>
      </c>
      <c r="G195" s="1">
        <f>SUMIFS($S$2:$S$10,$R$2:$R$10,D195)</f>
        <v>15</v>
      </c>
      <c r="H195" s="1">
        <f>SUMIFS($S$2:$S$10,$R$2:$R$10,E195)</f>
        <v>0</v>
      </c>
      <c r="I195" s="1">
        <f>SUMIFS($S$2:$S$10,$R$2:$R$10,F195)</f>
        <v>1</v>
      </c>
      <c r="J195" s="1">
        <f>SUM(G195:I195)</f>
        <v>16</v>
      </c>
      <c r="K195" s="1">
        <f>SUMIFS($U$2:$U$10,$R$2:$R$10,E195)</f>
        <v>0</v>
      </c>
      <c r="L195" s="1">
        <f>SUMIFS($V$2:$V$10,$R$2:$R$10,F195)</f>
        <v>0.01</v>
      </c>
      <c r="M195" s="1">
        <f>SUMIFS($T$2:$T$10,$R$2:$R$10,D195)</f>
        <v>0.32</v>
      </c>
    </row>
    <row r="196" spans="1:13" x14ac:dyDescent="0.25">
      <c r="A196" s="1">
        <f>(A$2+A$2*K196+A$2*L196)*(1+M196)</f>
        <v>629.27040000000011</v>
      </c>
      <c r="B196" s="1">
        <f>(B$2+B$2*K196+B$2*L196)*(1+M196)</f>
        <v>731.92680000000007</v>
      </c>
      <c r="C196" s="1">
        <f>(C$2+C$2*K196+C$2*L196)*(1+M196)</f>
        <v>769.25639999999999</v>
      </c>
      <c r="D196" s="1">
        <v>6</v>
      </c>
      <c r="E196" s="1">
        <v>1</v>
      </c>
      <c r="F196" s="1">
        <v>0</v>
      </c>
      <c r="G196" s="1">
        <f>SUMIFS($S$2:$S$10,$R$2:$R$10,D196)</f>
        <v>15</v>
      </c>
      <c r="H196" s="1">
        <f>SUMIFS($S$2:$S$10,$R$2:$R$10,E196)</f>
        <v>1</v>
      </c>
      <c r="I196" s="1">
        <f>SUMIFS($S$2:$S$10,$R$2:$R$10,F196)</f>
        <v>0</v>
      </c>
      <c r="J196" s="1">
        <f>SUM(G196:I196)</f>
        <v>16</v>
      </c>
      <c r="K196" s="1">
        <f>SUMIFS($U$2:$U$10,$R$2:$R$10,E196)</f>
        <v>0.01</v>
      </c>
      <c r="L196" s="1">
        <f>SUMIFS($V$2:$V$10,$R$2:$R$10,F196)</f>
        <v>0</v>
      </c>
      <c r="M196" s="1">
        <f>SUMIFS($T$2:$T$10,$R$2:$R$10,D196)</f>
        <v>0.32</v>
      </c>
    </row>
    <row r="197" spans="1:13" x14ac:dyDescent="0.25">
      <c r="A197" s="3">
        <f>(A$2+A$2*M197+A$2*L197)*(1+K197)</f>
        <v>596.79679999999996</v>
      </c>
      <c r="B197" s="3">
        <f>(B$2+B$2*M197+B$2*L197)*(1+K197)</f>
        <v>694.15560000000005</v>
      </c>
      <c r="C197" s="3">
        <f>(C$2+C$2*M197+C$2*L197)*(1+K197)</f>
        <v>729.55880000000002</v>
      </c>
      <c r="D197" s="3">
        <v>4</v>
      </c>
      <c r="E197" s="3">
        <v>2</v>
      </c>
      <c r="F197" s="3">
        <v>4</v>
      </c>
      <c r="G197" s="3">
        <f>SUMIFS($S$2:$S$10,$R$2:$R$10,D197)</f>
        <v>7</v>
      </c>
      <c r="H197" s="3">
        <f>SUMIFS($S$2:$S$10,$R$2:$R$10,E197)</f>
        <v>2</v>
      </c>
      <c r="I197" s="3">
        <f>SUMIFS($S$2:$S$10,$R$2:$R$10,F197)</f>
        <v>7</v>
      </c>
      <c r="J197" s="3">
        <f>SUM(G197:I197)</f>
        <v>16</v>
      </c>
      <c r="K197" s="3">
        <f>SUMIFS($T$2:$T$10,$R$2:$R$10,E197)</f>
        <v>0.16</v>
      </c>
      <c r="L197" s="3">
        <f>SUMIFS($V$2:$V$10,$R$2:$R$10,F197)</f>
        <v>0.04</v>
      </c>
      <c r="M197" s="3">
        <f>SUMIFS($U$2:$U$10,$R$2:$R$10,D197)</f>
        <v>0.05</v>
      </c>
    </row>
    <row r="198" spans="1:13" x14ac:dyDescent="0.25">
      <c r="A198" s="3">
        <f>(A$2+A$2*M198+A$2*L198)*(1+K198)</f>
        <v>616.14880000000005</v>
      </c>
      <c r="B198" s="3">
        <f>(B$2+B$2*M198+B$2*L198)*(1+K198)</f>
        <v>716.66460000000006</v>
      </c>
      <c r="C198" s="3">
        <f>(C$2+C$2*M198+C$2*L198)*(1+K198)</f>
        <v>753.21579999999994</v>
      </c>
      <c r="D198" s="3">
        <v>4</v>
      </c>
      <c r="E198" s="3">
        <v>4</v>
      </c>
      <c r="F198" s="3">
        <v>2</v>
      </c>
      <c r="G198" s="3">
        <f>SUMIFS($S$2:$S$10,$R$2:$R$10,D198)</f>
        <v>7</v>
      </c>
      <c r="H198" s="3">
        <f>SUMIFS($S$2:$S$10,$R$2:$R$10,E198)</f>
        <v>7</v>
      </c>
      <c r="I198" s="3">
        <f>SUMIFS($S$2:$S$10,$R$2:$R$10,F198)</f>
        <v>2</v>
      </c>
      <c r="J198" s="3">
        <f>SUM(G198:I198)</f>
        <v>16</v>
      </c>
      <c r="K198" s="3">
        <f>SUMIFS($T$2:$T$10,$R$2:$R$10,E198)</f>
        <v>0.22</v>
      </c>
      <c r="L198" s="3">
        <f>SUMIFS($V$2:$V$10,$R$2:$R$10,F198)</f>
        <v>0.02</v>
      </c>
      <c r="M198" s="3">
        <f>SUMIFS($U$2:$U$10,$R$2:$R$10,D198)</f>
        <v>0.05</v>
      </c>
    </row>
    <row r="199" spans="1:13" x14ac:dyDescent="0.25">
      <c r="A199" s="3">
        <f>(A$2+A$2*M199+A$2*L199)*(1+K199)</f>
        <v>602.27200000000005</v>
      </c>
      <c r="B199" s="3">
        <f>(B$2+B$2*M199+B$2*L199)*(1+K199)</f>
        <v>700.524</v>
      </c>
      <c r="C199" s="3">
        <f>(C$2+C$2*M199+C$2*L199)*(1+K199)</f>
        <v>736.25199999999984</v>
      </c>
      <c r="D199" s="3">
        <v>5</v>
      </c>
      <c r="E199" s="3">
        <v>2</v>
      </c>
      <c r="F199" s="3">
        <v>3</v>
      </c>
      <c r="G199" s="3">
        <f>SUMIFS($S$2:$S$10,$R$2:$R$10,D199)</f>
        <v>10</v>
      </c>
      <c r="H199" s="3">
        <f>SUMIFS($S$2:$S$10,$R$2:$R$10,E199)</f>
        <v>2</v>
      </c>
      <c r="I199" s="3">
        <f>SUMIFS($S$2:$S$10,$R$2:$R$10,F199)</f>
        <v>4</v>
      </c>
      <c r="J199" s="3">
        <f>SUM(G199:I199)</f>
        <v>16</v>
      </c>
      <c r="K199" s="3">
        <f>SUMIFS($T$2:$T$10,$R$2:$R$10,E199)</f>
        <v>0.16</v>
      </c>
      <c r="L199" s="3">
        <f>SUMIFS($V$2:$V$10,$R$2:$R$10,F199)</f>
        <v>0.03</v>
      </c>
      <c r="M199" s="3">
        <f>SUMIFS($U$2:$U$10,$R$2:$R$10,D199)</f>
        <v>7.0000000000000007E-2</v>
      </c>
    </row>
    <row r="200" spans="1:13" x14ac:dyDescent="0.25">
      <c r="A200" s="3">
        <f>(A$2+A$2*M200+A$2*L200)*(1+K200)</f>
        <v>612.23119999999994</v>
      </c>
      <c r="B200" s="3">
        <f>(B$2+B$2*M200+B$2*L200)*(1+K200)</f>
        <v>712.10790000000009</v>
      </c>
      <c r="C200" s="3">
        <f>(C$2+C$2*M200+C$2*L200)*(1+K200)</f>
        <v>748.42669999999987</v>
      </c>
      <c r="D200" s="3">
        <v>5</v>
      </c>
      <c r="E200" s="3">
        <v>3</v>
      </c>
      <c r="F200" s="3">
        <v>2</v>
      </c>
      <c r="G200" s="3">
        <f>SUMIFS($S$2:$S$10,$R$2:$R$10,D200)</f>
        <v>10</v>
      </c>
      <c r="H200" s="3">
        <f>SUMIFS($S$2:$S$10,$R$2:$R$10,E200)</f>
        <v>4</v>
      </c>
      <c r="I200" s="3">
        <f>SUMIFS($S$2:$S$10,$R$2:$R$10,F200)</f>
        <v>2</v>
      </c>
      <c r="J200" s="3">
        <f>SUM(G200:I200)</f>
        <v>16</v>
      </c>
      <c r="K200" s="3">
        <f>SUMIFS($T$2:$T$10,$R$2:$R$10,E200)</f>
        <v>0.19</v>
      </c>
      <c r="L200" s="3">
        <f>SUMIFS($V$2:$V$10,$R$2:$R$10,F200)</f>
        <v>0.02</v>
      </c>
      <c r="M200" s="3">
        <f>SUMIFS($U$2:$U$10,$R$2:$R$10,D200)</f>
        <v>7.0000000000000007E-2</v>
      </c>
    </row>
    <row r="201" spans="1:13" x14ac:dyDescent="0.25">
      <c r="A201" s="3">
        <f>(A$2+A$2*M201+A$2*L201)*(1+K201)</f>
        <v>519.20000000000005</v>
      </c>
      <c r="B201" s="3">
        <f>(B$2+B$2*M201+B$2*L201)*(1+K201)</f>
        <v>603.9</v>
      </c>
      <c r="C201" s="3">
        <f>(C$2+C$2*M201+C$2*L201)*(1+K201)</f>
        <v>634.69999999999993</v>
      </c>
      <c r="D201" s="3">
        <v>6</v>
      </c>
      <c r="E201" s="3">
        <v>0</v>
      </c>
      <c r="F201" s="3">
        <v>1</v>
      </c>
      <c r="G201" s="3">
        <f>SUMIFS($S$2:$S$10,$R$2:$R$10,D201)</f>
        <v>15</v>
      </c>
      <c r="H201" s="3">
        <f>SUMIFS($S$2:$S$10,$R$2:$R$10,E201)</f>
        <v>0</v>
      </c>
      <c r="I201" s="3">
        <f>SUMIFS($S$2:$S$10,$R$2:$R$10,F201)</f>
        <v>1</v>
      </c>
      <c r="J201" s="3">
        <f>SUM(G201:I201)</f>
        <v>16</v>
      </c>
      <c r="K201" s="3">
        <f>SUMIFS($T$2:$T$10,$R$2:$R$10,E201)</f>
        <v>0</v>
      </c>
      <c r="L201" s="3">
        <f>SUMIFS($V$2:$V$10,$R$2:$R$10,F201)</f>
        <v>0.01</v>
      </c>
      <c r="M201" s="3">
        <f>SUMIFS($U$2:$U$10,$R$2:$R$10,D201)</f>
        <v>0.09</v>
      </c>
    </row>
    <row r="202" spans="1:13" x14ac:dyDescent="0.25">
      <c r="A202" s="3">
        <f>(A$2+A$2*M202+A$2*L202)*(1+K202)</f>
        <v>581.36239999999998</v>
      </c>
      <c r="B202" s="3">
        <f>(B$2+B$2*M202+B$2*L202)*(1+K202)</f>
        <v>676.2032999999999</v>
      </c>
      <c r="C202" s="3">
        <f>(C$2+C$2*M202+C$2*L202)*(1+K202)</f>
        <v>710.69089999999983</v>
      </c>
      <c r="D202" s="3">
        <v>6</v>
      </c>
      <c r="E202" s="3">
        <v>1</v>
      </c>
      <c r="F202" s="3">
        <v>0</v>
      </c>
      <c r="G202" s="3">
        <f>SUMIFS($S$2:$S$10,$R$2:$R$10,D202)</f>
        <v>15</v>
      </c>
      <c r="H202" s="3">
        <f>SUMIFS($S$2:$S$10,$R$2:$R$10,E202)</f>
        <v>1</v>
      </c>
      <c r="I202" s="3">
        <f>SUMIFS($S$2:$S$10,$R$2:$R$10,F202)</f>
        <v>0</v>
      </c>
      <c r="J202" s="3">
        <f>SUM(G202:I202)</f>
        <v>16</v>
      </c>
      <c r="K202" s="3">
        <f>SUMIFS($T$2:$T$10,$R$2:$R$10,E202)</f>
        <v>0.13</v>
      </c>
      <c r="L202" s="3">
        <f>SUMIFS($V$2:$V$10,$R$2:$R$10,F202)</f>
        <v>0</v>
      </c>
      <c r="M202" s="3">
        <f>SUMIFS($U$2:$U$10,$R$2:$R$10,D202)</f>
        <v>0.09</v>
      </c>
    </row>
    <row r="203" spans="1:13" x14ac:dyDescent="0.25">
      <c r="A203" s="2">
        <f>(A$2+A$2*K203+A$2*M203)*(1+L203)</f>
        <v>610.3904</v>
      </c>
      <c r="B203" s="2">
        <f>(B$2+B$2*K203+B$2*M203)*(1+L203)</f>
        <v>709.96680000000003</v>
      </c>
      <c r="C203" s="2">
        <f>(C$2+C$2*K203+C$2*M203)*(1+L203)</f>
        <v>746.17639999999994</v>
      </c>
      <c r="D203" s="2">
        <v>4</v>
      </c>
      <c r="E203" s="2">
        <v>2</v>
      </c>
      <c r="F203" s="2">
        <v>4</v>
      </c>
      <c r="G203" s="2">
        <f>SUMIFS($S$2:$S$10,$R$2:$R$10,D203)</f>
        <v>7</v>
      </c>
      <c r="H203" s="2">
        <f>SUMIFS($S$2:$S$10,$R$2:$R$10,E203)</f>
        <v>2</v>
      </c>
      <c r="I203" s="2">
        <f>SUMIFS($S$2:$S$10,$R$2:$R$10,F203)</f>
        <v>7</v>
      </c>
      <c r="J203" s="2">
        <f>SUM(G203:I203)</f>
        <v>16</v>
      </c>
      <c r="K203" s="2">
        <f>SUMIFS($U$2:$U$10,$R$2:$R$10,E203)</f>
        <v>0.02</v>
      </c>
      <c r="L203" s="2">
        <f>SUMIFS($T$2:$T$10,$R$2:$R$10,F203)</f>
        <v>0.22</v>
      </c>
      <c r="M203" s="2">
        <f>SUMIFS($V$2:$V$10,$R$2:$R$10,D203)</f>
        <v>0.04</v>
      </c>
    </row>
    <row r="204" spans="1:13" x14ac:dyDescent="0.25">
      <c r="A204" s="2">
        <f>(A$2+A$2*K204+A$2*M204)*(1+L204)</f>
        <v>596.79679999999996</v>
      </c>
      <c r="B204" s="2">
        <f>(B$2+B$2*K204+B$2*M204)*(1+L204)</f>
        <v>694.15560000000005</v>
      </c>
      <c r="C204" s="2">
        <f>(C$2+C$2*K204+C$2*M204)*(1+L204)</f>
        <v>729.55880000000002</v>
      </c>
      <c r="D204" s="2">
        <v>4</v>
      </c>
      <c r="E204" s="2">
        <v>4</v>
      </c>
      <c r="F204" s="2">
        <v>2</v>
      </c>
      <c r="G204" s="2">
        <f>SUMIFS($S$2:$S$10,$R$2:$R$10,D204)</f>
        <v>7</v>
      </c>
      <c r="H204" s="2">
        <f>SUMIFS($S$2:$S$10,$R$2:$R$10,E204)</f>
        <v>7</v>
      </c>
      <c r="I204" s="2">
        <f>SUMIFS($S$2:$S$10,$R$2:$R$10,F204)</f>
        <v>2</v>
      </c>
      <c r="J204" s="2">
        <f>SUM(G204:I204)</f>
        <v>16</v>
      </c>
      <c r="K204" s="2">
        <f>SUMIFS($U$2:$U$10,$R$2:$R$10,E204)</f>
        <v>0.05</v>
      </c>
      <c r="L204" s="2">
        <f>SUMIFS($T$2:$T$10,$R$2:$R$10,F204)</f>
        <v>0.16</v>
      </c>
      <c r="M204" s="2">
        <f>SUMIFS($V$2:$V$10,$R$2:$R$10,D204)</f>
        <v>0.04</v>
      </c>
    </row>
    <row r="205" spans="1:13" x14ac:dyDescent="0.25">
      <c r="A205" s="2">
        <f>(A$2+A$2*K205+A$2*M205)*(1+L205)</f>
        <v>600.99760000000003</v>
      </c>
      <c r="B205" s="2">
        <f>(B$2+B$2*K205+B$2*M205)*(1+L205)</f>
        <v>699.04169999999999</v>
      </c>
      <c r="C205" s="2">
        <f>(C$2+C$2*K205+C$2*M205)*(1+L205)</f>
        <v>734.69409999999993</v>
      </c>
      <c r="D205" s="2">
        <v>5</v>
      </c>
      <c r="E205" s="2">
        <v>2</v>
      </c>
      <c r="F205" s="2">
        <v>3</v>
      </c>
      <c r="G205" s="2">
        <f>SUMIFS($S$2:$S$10,$R$2:$R$10,D205)</f>
        <v>10</v>
      </c>
      <c r="H205" s="2">
        <f>SUMIFS($S$2:$S$10,$R$2:$R$10,E205)</f>
        <v>2</v>
      </c>
      <c r="I205" s="2">
        <f>SUMIFS($S$2:$S$10,$R$2:$R$10,F205)</f>
        <v>4</v>
      </c>
      <c r="J205" s="2">
        <f>SUM(G205:I205)</f>
        <v>16</v>
      </c>
      <c r="K205" s="2">
        <f>SUMIFS($U$2:$U$10,$R$2:$R$10,E205)</f>
        <v>0.02</v>
      </c>
      <c r="L205" s="2">
        <f>SUMIFS($T$2:$T$10,$R$2:$R$10,F205)</f>
        <v>0.19</v>
      </c>
      <c r="M205" s="2">
        <f>SUMIFS($V$2:$V$10,$R$2:$R$10,D205)</f>
        <v>0.05</v>
      </c>
    </row>
    <row r="206" spans="1:13" x14ac:dyDescent="0.25">
      <c r="A206" s="2">
        <f>(A$2+A$2*K206+A$2*M206)*(1+L206)</f>
        <v>591.32159999999999</v>
      </c>
      <c r="B206" s="2">
        <f>(B$2+B$2*K206+B$2*M206)*(1+L206)</f>
        <v>687.78719999999998</v>
      </c>
      <c r="C206" s="2">
        <f>(C$2+C$2*K206+C$2*M206)*(1+L206)</f>
        <v>722.86559999999986</v>
      </c>
      <c r="D206" s="2">
        <v>5</v>
      </c>
      <c r="E206" s="2">
        <v>3</v>
      </c>
      <c r="F206" s="2">
        <v>2</v>
      </c>
      <c r="G206" s="2">
        <f>SUMIFS($S$2:$S$10,$R$2:$R$10,D206)</f>
        <v>10</v>
      </c>
      <c r="H206" s="2">
        <f>SUMIFS($S$2:$S$10,$R$2:$R$10,E206)</f>
        <v>4</v>
      </c>
      <c r="I206" s="2">
        <f>SUMIFS($S$2:$S$10,$R$2:$R$10,F206)</f>
        <v>2</v>
      </c>
      <c r="J206" s="2">
        <f>SUM(G206:I206)</f>
        <v>16</v>
      </c>
      <c r="K206" s="2">
        <f>SUMIFS($U$2:$U$10,$R$2:$R$10,E206)</f>
        <v>0.03</v>
      </c>
      <c r="L206" s="2">
        <f>SUMIFS($T$2:$T$10,$R$2:$R$10,F206)</f>
        <v>0.16</v>
      </c>
      <c r="M206" s="2">
        <f>SUMIFS($V$2:$V$10,$R$2:$R$10,D206)</f>
        <v>0.05</v>
      </c>
    </row>
    <row r="207" spans="1:13" x14ac:dyDescent="0.25">
      <c r="A207" s="2">
        <f>(A$2+A$2*K207+A$2*M207)*(1+L207)</f>
        <v>565.36159999999995</v>
      </c>
      <c r="B207" s="2">
        <f>(B$2+B$2*K207+B$2*M207)*(1+L207)</f>
        <v>657.59220000000005</v>
      </c>
      <c r="C207" s="2">
        <f>(C$2+C$2*K207+C$2*M207)*(1+L207)</f>
        <v>691.13059999999996</v>
      </c>
      <c r="D207" s="2">
        <v>6</v>
      </c>
      <c r="E207" s="2">
        <v>0</v>
      </c>
      <c r="F207" s="2">
        <v>1</v>
      </c>
      <c r="G207" s="2">
        <f>SUMIFS($S$2:$S$10,$R$2:$R$10,D207)</f>
        <v>15</v>
      </c>
      <c r="H207" s="2">
        <f>SUMIFS($S$2:$S$10,$R$2:$R$10,E207)</f>
        <v>0</v>
      </c>
      <c r="I207" s="2">
        <f>SUMIFS($S$2:$S$10,$R$2:$R$10,F207)</f>
        <v>1</v>
      </c>
      <c r="J207" s="2">
        <f>SUM(G207:I207)</f>
        <v>16</v>
      </c>
      <c r="K207" s="2">
        <f>SUMIFS($U$2:$U$10,$R$2:$R$10,E207)</f>
        <v>0</v>
      </c>
      <c r="L207" s="2">
        <f>SUMIFS($T$2:$T$10,$R$2:$R$10,F207)</f>
        <v>0.13</v>
      </c>
      <c r="M207" s="2">
        <f>SUMIFS($V$2:$V$10,$R$2:$R$10,D207)</f>
        <v>0.06</v>
      </c>
    </row>
    <row r="208" spans="1:13" x14ac:dyDescent="0.25">
      <c r="A208" s="2">
        <f>(A$2+A$2*K208+A$2*M208)*(1+L208)</f>
        <v>505.04</v>
      </c>
      <c r="B208" s="2">
        <f>(B$2+B$2*K208+B$2*M208)*(1+L208)</f>
        <v>587.43000000000006</v>
      </c>
      <c r="C208" s="2">
        <f>(C$2+C$2*K208+C$2*M208)*(1+L208)</f>
        <v>617.39</v>
      </c>
      <c r="D208" s="2">
        <v>6</v>
      </c>
      <c r="E208" s="2">
        <v>1</v>
      </c>
      <c r="F208" s="2">
        <v>0</v>
      </c>
      <c r="G208" s="2">
        <f>SUMIFS($S$2:$S$10,$R$2:$R$10,D208)</f>
        <v>15</v>
      </c>
      <c r="H208" s="2">
        <f>SUMIFS($S$2:$S$10,$R$2:$R$10,E208)</f>
        <v>1</v>
      </c>
      <c r="I208" s="2">
        <f>SUMIFS($S$2:$S$10,$R$2:$R$10,F208)</f>
        <v>0</v>
      </c>
      <c r="J208" s="2">
        <f>SUM(G208:I208)</f>
        <v>16</v>
      </c>
      <c r="K208" s="2">
        <f>SUMIFS($U$2:$U$10,$R$2:$R$10,E208)</f>
        <v>0.01</v>
      </c>
      <c r="L208" s="2">
        <f>SUMIFS($T$2:$T$10,$R$2:$R$10,F208)</f>
        <v>0</v>
      </c>
      <c r="M208" s="2">
        <f>SUMIFS($V$2:$V$10,$R$2:$R$10,D208)</f>
        <v>0.06</v>
      </c>
    </row>
    <row r="209" spans="1:13" x14ac:dyDescent="0.25">
      <c r="A209" s="1">
        <f>(A$2+A$2*K209+A$2*L209)*(1+M209)</f>
        <v>623.41759999999999</v>
      </c>
      <c r="B209" s="1">
        <f>(B$2+B$2*K209+B$2*L209)*(1+M209)</f>
        <v>725.11920000000009</v>
      </c>
      <c r="C209" s="1">
        <f>(C$2+C$2*K209+C$2*L209)*(1+M209)</f>
        <v>762.10160000000008</v>
      </c>
      <c r="D209" s="1">
        <v>5</v>
      </c>
      <c r="E209" s="1">
        <v>0</v>
      </c>
      <c r="F209" s="1">
        <v>4</v>
      </c>
      <c r="G209" s="1">
        <f>SUMIFS($S$2:$S$10,$R$2:$R$10,D209)</f>
        <v>10</v>
      </c>
      <c r="H209" s="1">
        <f>SUMIFS($S$2:$S$10,$R$2:$R$10,E209)</f>
        <v>0</v>
      </c>
      <c r="I209" s="1">
        <f>SUMIFS($S$2:$S$10,$R$2:$R$10,F209)</f>
        <v>7</v>
      </c>
      <c r="J209" s="1">
        <f>SUM(G209:I209)</f>
        <v>17</v>
      </c>
      <c r="K209" s="1">
        <f>SUMIFS($U$2:$U$10,$R$2:$R$10,E209)</f>
        <v>0</v>
      </c>
      <c r="L209" s="1">
        <f>SUMIFS($V$2:$V$10,$R$2:$R$10,F209)</f>
        <v>0.04</v>
      </c>
      <c r="M209" s="1">
        <f>SUMIFS($T$2:$T$10,$R$2:$R$10,D209)</f>
        <v>0.27</v>
      </c>
    </row>
    <row r="210" spans="1:13" x14ac:dyDescent="0.25">
      <c r="A210" s="1">
        <f>(A$2+A$2*K210+A$2*L210)*(1+M210)</f>
        <v>629.41200000000003</v>
      </c>
      <c r="B210" s="1">
        <f>(B$2+B$2*K210+B$2*L210)*(1+M210)</f>
        <v>732.09150000000011</v>
      </c>
      <c r="C210" s="1">
        <f>(C$2+C$2*K210+C$2*L210)*(1+M210)</f>
        <v>769.42950000000008</v>
      </c>
      <c r="D210" s="1">
        <v>5</v>
      </c>
      <c r="E210" s="1">
        <v>4</v>
      </c>
      <c r="F210" s="1">
        <v>0</v>
      </c>
      <c r="G210" s="1">
        <f>SUMIFS($S$2:$S$10,$R$2:$R$10,D210)</f>
        <v>10</v>
      </c>
      <c r="H210" s="1">
        <f>SUMIFS($S$2:$S$10,$R$2:$R$10,E210)</f>
        <v>7</v>
      </c>
      <c r="I210" s="1">
        <f>SUMIFS($S$2:$S$10,$R$2:$R$10,F210)</f>
        <v>0</v>
      </c>
      <c r="J210" s="1">
        <f>SUM(G210:I210)</f>
        <v>17</v>
      </c>
      <c r="K210" s="1">
        <f>SUMIFS($U$2:$U$10,$R$2:$R$10,E210)</f>
        <v>0.05</v>
      </c>
      <c r="L210" s="1">
        <f>SUMIFS($V$2:$V$10,$R$2:$R$10,F210)</f>
        <v>0</v>
      </c>
      <c r="M210" s="1">
        <f>SUMIFS($T$2:$T$10,$R$2:$R$10,D210)</f>
        <v>0.27</v>
      </c>
    </row>
    <row r="211" spans="1:13" x14ac:dyDescent="0.25">
      <c r="A211" s="1">
        <f>(A$2+A$2*K211+A$2*L211)*(1+M211)</f>
        <v>635.50080000000003</v>
      </c>
      <c r="B211" s="1">
        <f>(B$2+B$2*K211+B$2*L211)*(1+M211)</f>
        <v>739.17360000000008</v>
      </c>
      <c r="C211" s="1">
        <f>(C$2+C$2*K211+C$2*L211)*(1+M211)</f>
        <v>776.87279999999998</v>
      </c>
      <c r="D211" s="1">
        <v>6</v>
      </c>
      <c r="E211" s="1">
        <v>0</v>
      </c>
      <c r="F211" s="1">
        <v>2</v>
      </c>
      <c r="G211" s="1">
        <f>SUMIFS($S$2:$S$10,$R$2:$R$10,D211)</f>
        <v>15</v>
      </c>
      <c r="H211" s="1">
        <f>SUMIFS($S$2:$S$10,$R$2:$R$10,E211)</f>
        <v>0</v>
      </c>
      <c r="I211" s="1">
        <f>SUMIFS($S$2:$S$10,$R$2:$R$10,F211)</f>
        <v>2</v>
      </c>
      <c r="J211" s="1">
        <f>SUM(G211:I211)</f>
        <v>17</v>
      </c>
      <c r="K211" s="1">
        <f>SUMIFS($U$2:$U$10,$R$2:$R$10,E211)</f>
        <v>0</v>
      </c>
      <c r="L211" s="1">
        <f>SUMIFS($V$2:$V$10,$R$2:$R$10,F211)</f>
        <v>0.02</v>
      </c>
      <c r="M211" s="1">
        <f>SUMIFS($T$2:$T$10,$R$2:$R$10,D211)</f>
        <v>0.32</v>
      </c>
    </row>
    <row r="212" spans="1:13" x14ac:dyDescent="0.25">
      <c r="A212" s="1">
        <f>(A$2+A$2*K212+A$2*L212)*(1+M212)</f>
        <v>635.50080000000014</v>
      </c>
      <c r="B212" s="1">
        <f>(B$2+B$2*K212+B$2*L212)*(1+M212)</f>
        <v>739.17360000000008</v>
      </c>
      <c r="C212" s="1">
        <f>(C$2+C$2*K212+C$2*L212)*(1+M212)</f>
        <v>776.87279999999998</v>
      </c>
      <c r="D212" s="1">
        <v>6</v>
      </c>
      <c r="E212" s="1">
        <v>1</v>
      </c>
      <c r="F212" s="1">
        <v>1</v>
      </c>
      <c r="G212" s="1">
        <f>SUMIFS($S$2:$S$10,$R$2:$R$10,D212)</f>
        <v>15</v>
      </c>
      <c r="H212" s="1">
        <f>SUMIFS($S$2:$S$10,$R$2:$R$10,E212)</f>
        <v>1</v>
      </c>
      <c r="I212" s="1">
        <f>SUMIFS($S$2:$S$10,$R$2:$R$10,F212)</f>
        <v>1</v>
      </c>
      <c r="J212" s="1">
        <f>SUM(G212:I212)</f>
        <v>17</v>
      </c>
      <c r="K212" s="1">
        <f>SUMIFS($U$2:$U$10,$R$2:$R$10,E212)</f>
        <v>0.01</v>
      </c>
      <c r="L212" s="1">
        <f>SUMIFS($V$2:$V$10,$R$2:$R$10,F212)</f>
        <v>0.01</v>
      </c>
      <c r="M212" s="1">
        <f>SUMIFS($T$2:$T$10,$R$2:$R$10,D212)</f>
        <v>0.32</v>
      </c>
    </row>
    <row r="213" spans="1:13" x14ac:dyDescent="0.25">
      <c r="A213" s="1">
        <f>(A$2+A$2*K213+A$2*L213)*(1+M213)</f>
        <v>635.50080000000003</v>
      </c>
      <c r="B213" s="1">
        <f>(B$2+B$2*K213+B$2*L213)*(1+M213)</f>
        <v>739.17360000000008</v>
      </c>
      <c r="C213" s="1">
        <f>(C$2+C$2*K213+C$2*L213)*(1+M213)</f>
        <v>776.87279999999998</v>
      </c>
      <c r="D213" s="1">
        <v>6</v>
      </c>
      <c r="E213" s="1">
        <v>2</v>
      </c>
      <c r="F213" s="1">
        <v>0</v>
      </c>
      <c r="G213" s="1">
        <f>SUMIFS($S$2:$S$10,$R$2:$R$10,D213)</f>
        <v>15</v>
      </c>
      <c r="H213" s="1">
        <f>SUMIFS($S$2:$S$10,$R$2:$R$10,E213)</f>
        <v>2</v>
      </c>
      <c r="I213" s="1">
        <f>SUMIFS($S$2:$S$10,$R$2:$R$10,F213)</f>
        <v>0</v>
      </c>
      <c r="J213" s="1">
        <f>SUM(G213:I213)</f>
        <v>17</v>
      </c>
      <c r="K213" s="1">
        <f>SUMIFS($U$2:$U$10,$R$2:$R$10,E213)</f>
        <v>0.02</v>
      </c>
      <c r="L213" s="1">
        <f>SUMIFS($V$2:$V$10,$R$2:$R$10,F213)</f>
        <v>0</v>
      </c>
      <c r="M213" s="1">
        <f>SUMIFS($T$2:$T$10,$R$2:$R$10,D213)</f>
        <v>0.32</v>
      </c>
    </row>
    <row r="214" spans="1:13" x14ac:dyDescent="0.25">
      <c r="A214" s="3">
        <f>(A$2+A$2*M214+A$2*L214)*(1+K214)</f>
        <v>523.92000000000007</v>
      </c>
      <c r="B214" s="3">
        <f>(B$2+B$2*M214+B$2*L214)*(1+K214)</f>
        <v>609.3900000000001</v>
      </c>
      <c r="C214" s="3">
        <f>(C$2+C$2*M214+C$2*L214)*(1+K214)</f>
        <v>640.47</v>
      </c>
      <c r="D214" s="3">
        <v>5</v>
      </c>
      <c r="E214" s="3">
        <v>0</v>
      </c>
      <c r="F214" s="3">
        <v>4</v>
      </c>
      <c r="G214" s="3">
        <f>SUMIFS($S$2:$S$10,$R$2:$R$10,D214)</f>
        <v>10</v>
      </c>
      <c r="H214" s="3">
        <f>SUMIFS($S$2:$S$10,$R$2:$R$10,E214)</f>
        <v>0</v>
      </c>
      <c r="I214" s="3">
        <f>SUMIFS($S$2:$S$10,$R$2:$R$10,F214)</f>
        <v>7</v>
      </c>
      <c r="J214" s="3">
        <f>SUM(G214:I214)</f>
        <v>17</v>
      </c>
      <c r="K214" s="3">
        <f>SUMIFS($T$2:$T$10,$R$2:$R$10,E214)</f>
        <v>0</v>
      </c>
      <c r="L214" s="3">
        <f>SUMIFS($V$2:$V$10,$R$2:$R$10,F214)</f>
        <v>0.04</v>
      </c>
      <c r="M214" s="3">
        <f>SUMIFS($U$2:$U$10,$R$2:$R$10,D214)</f>
        <v>7.0000000000000007E-2</v>
      </c>
    </row>
    <row r="215" spans="1:13" x14ac:dyDescent="0.25">
      <c r="A215" s="3">
        <f>(A$2+A$2*M215+A$2*L215)*(1+K215)</f>
        <v>616.14880000000005</v>
      </c>
      <c r="B215" s="3">
        <f>(B$2+B$2*M215+B$2*L215)*(1+K215)</f>
        <v>716.66460000000006</v>
      </c>
      <c r="C215" s="3">
        <f>(C$2+C$2*M215+C$2*L215)*(1+K215)</f>
        <v>753.21579999999994</v>
      </c>
      <c r="D215" s="3">
        <v>5</v>
      </c>
      <c r="E215" s="3">
        <v>4</v>
      </c>
      <c r="F215" s="3">
        <v>0</v>
      </c>
      <c r="G215" s="3">
        <f>SUMIFS($S$2:$S$10,$R$2:$R$10,D215)</f>
        <v>10</v>
      </c>
      <c r="H215" s="3">
        <f>SUMIFS($S$2:$S$10,$R$2:$R$10,E215)</f>
        <v>7</v>
      </c>
      <c r="I215" s="3">
        <f>SUMIFS($S$2:$S$10,$R$2:$R$10,F215)</f>
        <v>0</v>
      </c>
      <c r="J215" s="3">
        <f>SUM(G215:I215)</f>
        <v>17</v>
      </c>
      <c r="K215" s="3">
        <f>SUMIFS($T$2:$T$10,$R$2:$R$10,E215)</f>
        <v>0.22</v>
      </c>
      <c r="L215" s="3">
        <f>SUMIFS($V$2:$V$10,$R$2:$R$10,F215)</f>
        <v>0</v>
      </c>
      <c r="M215" s="3">
        <f>SUMIFS($U$2:$U$10,$R$2:$R$10,D215)</f>
        <v>7.0000000000000007E-2</v>
      </c>
    </row>
    <row r="216" spans="1:13" x14ac:dyDescent="0.25">
      <c r="A216" s="3">
        <f>(A$2+A$2*M216+A$2*L216)*(1+K216)</f>
        <v>523.92000000000007</v>
      </c>
      <c r="B216" s="3">
        <f>(B$2+B$2*M216+B$2*L216)*(1+K216)</f>
        <v>609.39</v>
      </c>
      <c r="C216" s="3">
        <f>(C$2+C$2*M216+C$2*L216)*(1+K216)</f>
        <v>640.46999999999991</v>
      </c>
      <c r="D216" s="3">
        <v>6</v>
      </c>
      <c r="E216" s="3">
        <v>0</v>
      </c>
      <c r="F216" s="3">
        <v>2</v>
      </c>
      <c r="G216" s="3">
        <f>SUMIFS($S$2:$S$10,$R$2:$R$10,D216)</f>
        <v>15</v>
      </c>
      <c r="H216" s="3">
        <f>SUMIFS($S$2:$S$10,$R$2:$R$10,E216)</f>
        <v>0</v>
      </c>
      <c r="I216" s="3">
        <f>SUMIFS($S$2:$S$10,$R$2:$R$10,F216)</f>
        <v>2</v>
      </c>
      <c r="J216" s="3">
        <f>SUM(G216:I216)</f>
        <v>17</v>
      </c>
      <c r="K216" s="3">
        <f>SUMIFS($T$2:$T$10,$R$2:$R$10,E216)</f>
        <v>0</v>
      </c>
      <c r="L216" s="3">
        <f>SUMIFS($V$2:$V$10,$R$2:$R$10,F216)</f>
        <v>0.02</v>
      </c>
      <c r="M216" s="3">
        <f>SUMIFS($U$2:$U$10,$R$2:$R$10,D216)</f>
        <v>0.09</v>
      </c>
    </row>
    <row r="217" spans="1:13" x14ac:dyDescent="0.25">
      <c r="A217" s="3">
        <f>(A$2+A$2*M217+A$2*L217)*(1+K217)</f>
        <v>586.69600000000003</v>
      </c>
      <c r="B217" s="3">
        <f>(B$2+B$2*M217+B$2*L217)*(1+K217)</f>
        <v>682.40699999999993</v>
      </c>
      <c r="C217" s="3">
        <f>(C$2+C$2*M217+C$2*L217)*(1+K217)</f>
        <v>717.2109999999999</v>
      </c>
      <c r="D217" s="3">
        <v>6</v>
      </c>
      <c r="E217" s="3">
        <v>1</v>
      </c>
      <c r="F217" s="3">
        <v>1</v>
      </c>
      <c r="G217" s="3">
        <f>SUMIFS($S$2:$S$10,$R$2:$R$10,D217)</f>
        <v>15</v>
      </c>
      <c r="H217" s="3">
        <f>SUMIFS($S$2:$S$10,$R$2:$R$10,E217)</f>
        <v>1</v>
      </c>
      <c r="I217" s="3">
        <f>SUMIFS($S$2:$S$10,$R$2:$R$10,F217)</f>
        <v>1</v>
      </c>
      <c r="J217" s="3">
        <f>SUM(G217:I217)</f>
        <v>17</v>
      </c>
      <c r="K217" s="3">
        <f>SUMIFS($T$2:$T$10,$R$2:$R$10,E217)</f>
        <v>0.13</v>
      </c>
      <c r="L217" s="3">
        <f>SUMIFS($V$2:$V$10,$R$2:$R$10,F217)</f>
        <v>0.01</v>
      </c>
      <c r="M217" s="3">
        <f>SUMIFS($U$2:$U$10,$R$2:$R$10,D217)</f>
        <v>0.09</v>
      </c>
    </row>
    <row r="218" spans="1:13" x14ac:dyDescent="0.25">
      <c r="A218" s="3">
        <f>(A$2+A$2*M218+A$2*L218)*(1+K218)</f>
        <v>596.79679999999996</v>
      </c>
      <c r="B218" s="3">
        <f>(B$2+B$2*M218+B$2*L218)*(1+K218)</f>
        <v>694.15559999999994</v>
      </c>
      <c r="C218" s="3">
        <f>(C$2+C$2*M218+C$2*L218)*(1+K218)</f>
        <v>729.55879999999991</v>
      </c>
      <c r="D218" s="3">
        <v>6</v>
      </c>
      <c r="E218" s="3">
        <v>2</v>
      </c>
      <c r="F218" s="3">
        <v>0</v>
      </c>
      <c r="G218" s="3">
        <f>SUMIFS($S$2:$S$10,$R$2:$R$10,D218)</f>
        <v>15</v>
      </c>
      <c r="H218" s="3">
        <f>SUMIFS($S$2:$S$10,$R$2:$R$10,E218)</f>
        <v>2</v>
      </c>
      <c r="I218" s="3">
        <f>SUMIFS($S$2:$S$10,$R$2:$R$10,F218)</f>
        <v>0</v>
      </c>
      <c r="J218" s="3">
        <f>SUM(G218:I218)</f>
        <v>17</v>
      </c>
      <c r="K218" s="3">
        <f>SUMIFS($T$2:$T$10,$R$2:$R$10,E218)</f>
        <v>0.16</v>
      </c>
      <c r="L218" s="3">
        <f>SUMIFS($V$2:$V$10,$R$2:$R$10,F218)</f>
        <v>0</v>
      </c>
      <c r="M218" s="3">
        <f>SUMIFS($U$2:$U$10,$R$2:$R$10,D218)</f>
        <v>0.09</v>
      </c>
    </row>
    <row r="219" spans="1:13" x14ac:dyDescent="0.25">
      <c r="A219" s="2">
        <f>(A$2+A$2*K219+A$2*M219)*(1+L219)</f>
        <v>604.63200000000006</v>
      </c>
      <c r="B219" s="2">
        <f>(B$2+B$2*K219+B$2*M219)*(1+L219)</f>
        <v>703.26900000000001</v>
      </c>
      <c r="C219" s="2">
        <f>(C$2+C$2*K219+C$2*M219)*(1+L219)</f>
        <v>739.13700000000006</v>
      </c>
      <c r="D219" s="2">
        <v>5</v>
      </c>
      <c r="E219" s="2">
        <v>0</v>
      </c>
      <c r="F219" s="2">
        <v>4</v>
      </c>
      <c r="G219" s="2">
        <f>SUMIFS($S$2:$S$10,$R$2:$R$10,D219)</f>
        <v>10</v>
      </c>
      <c r="H219" s="2">
        <f>SUMIFS($S$2:$S$10,$R$2:$R$10,E219)</f>
        <v>0</v>
      </c>
      <c r="I219" s="2">
        <f>SUMIFS($S$2:$S$10,$R$2:$R$10,F219)</f>
        <v>7</v>
      </c>
      <c r="J219" s="2">
        <f>SUM(G219:I219)</f>
        <v>17</v>
      </c>
      <c r="K219" s="2">
        <f>SUMIFS($U$2:$U$10,$R$2:$R$10,E219)</f>
        <v>0</v>
      </c>
      <c r="L219" s="2">
        <f>SUMIFS($T$2:$T$10,$R$2:$R$10,F219)</f>
        <v>0.22</v>
      </c>
      <c r="M219" s="2">
        <f>SUMIFS($V$2:$V$10,$R$2:$R$10,D219)</f>
        <v>0.05</v>
      </c>
    </row>
    <row r="220" spans="1:13" x14ac:dyDescent="0.25">
      <c r="A220" s="2">
        <f>(A$2+A$2*K220+A$2*M220)*(1+L220)</f>
        <v>519.20000000000005</v>
      </c>
      <c r="B220" s="2">
        <f>(B$2+B$2*K220+B$2*M220)*(1+L220)</f>
        <v>603.90000000000009</v>
      </c>
      <c r="C220" s="2">
        <f>(C$2+C$2*K220+C$2*M220)*(1+L220)</f>
        <v>634.70000000000005</v>
      </c>
      <c r="D220" s="2">
        <v>5</v>
      </c>
      <c r="E220" s="2">
        <v>4</v>
      </c>
      <c r="F220" s="2">
        <v>0</v>
      </c>
      <c r="G220" s="2">
        <f>SUMIFS($S$2:$S$10,$R$2:$R$10,D220)</f>
        <v>10</v>
      </c>
      <c r="H220" s="2">
        <f>SUMIFS($S$2:$S$10,$R$2:$R$10,E220)</f>
        <v>7</v>
      </c>
      <c r="I220" s="2">
        <f>SUMIFS($S$2:$S$10,$R$2:$R$10,F220)</f>
        <v>0</v>
      </c>
      <c r="J220" s="2">
        <f>SUM(G220:I220)</f>
        <v>17</v>
      </c>
      <c r="K220" s="2">
        <f>SUMIFS($U$2:$U$10,$R$2:$R$10,E220)</f>
        <v>0.05</v>
      </c>
      <c r="L220" s="2">
        <f>SUMIFS($T$2:$T$10,$R$2:$R$10,F220)</f>
        <v>0</v>
      </c>
      <c r="M220" s="2">
        <f>SUMIFS($V$2:$V$10,$R$2:$R$10,D220)</f>
        <v>0.05</v>
      </c>
    </row>
    <row r="221" spans="1:13" x14ac:dyDescent="0.25">
      <c r="A221" s="2">
        <f>(A$2+A$2*K221+A$2*M221)*(1+L221)</f>
        <v>580.37119999999993</v>
      </c>
      <c r="B221" s="2">
        <f>(B$2+B$2*K221+B$2*M221)*(1+L221)</f>
        <v>675.05039999999997</v>
      </c>
      <c r="C221" s="2">
        <f>(C$2+C$2*K221+C$2*M221)*(1+L221)</f>
        <v>709.47919999999999</v>
      </c>
      <c r="D221" s="2">
        <v>6</v>
      </c>
      <c r="E221" s="2">
        <v>0</v>
      </c>
      <c r="F221" s="2">
        <v>2</v>
      </c>
      <c r="G221" s="2">
        <f>SUMIFS($S$2:$S$10,$R$2:$R$10,D221)</f>
        <v>15</v>
      </c>
      <c r="H221" s="2">
        <f>SUMIFS($S$2:$S$10,$R$2:$R$10,E221)</f>
        <v>0</v>
      </c>
      <c r="I221" s="2">
        <f>SUMIFS($S$2:$S$10,$R$2:$R$10,F221)</f>
        <v>2</v>
      </c>
      <c r="J221" s="2">
        <f>SUM(G221:I221)</f>
        <v>17</v>
      </c>
      <c r="K221" s="2">
        <f>SUMIFS($U$2:$U$10,$R$2:$R$10,E221)</f>
        <v>0</v>
      </c>
      <c r="L221" s="2">
        <f>SUMIFS($T$2:$T$10,$R$2:$R$10,F221)</f>
        <v>0.16</v>
      </c>
      <c r="M221" s="2">
        <f>SUMIFS($V$2:$V$10,$R$2:$R$10,D221)</f>
        <v>0.06</v>
      </c>
    </row>
    <row r="222" spans="1:13" x14ac:dyDescent="0.25">
      <c r="A222" s="2">
        <f>(A$2+A$2*K222+A$2*M222)*(1+L222)</f>
        <v>570.6952</v>
      </c>
      <c r="B222" s="2">
        <f>(B$2+B$2*K222+B$2*M222)*(1+L222)</f>
        <v>663.79589999999996</v>
      </c>
      <c r="C222" s="2">
        <f>(C$2+C$2*K222+C$2*M222)*(1+L222)</f>
        <v>697.65069999999992</v>
      </c>
      <c r="D222" s="2">
        <v>6</v>
      </c>
      <c r="E222" s="2">
        <v>1</v>
      </c>
      <c r="F222" s="2">
        <v>1</v>
      </c>
      <c r="G222" s="2">
        <f>SUMIFS($S$2:$S$10,$R$2:$R$10,D222)</f>
        <v>15</v>
      </c>
      <c r="H222" s="2">
        <f>SUMIFS($S$2:$S$10,$R$2:$R$10,E222)</f>
        <v>1</v>
      </c>
      <c r="I222" s="2">
        <f>SUMIFS($S$2:$S$10,$R$2:$R$10,F222)</f>
        <v>1</v>
      </c>
      <c r="J222" s="2">
        <f>SUM(G222:I222)</f>
        <v>17</v>
      </c>
      <c r="K222" s="2">
        <f>SUMIFS($U$2:$U$10,$R$2:$R$10,E222)</f>
        <v>0.01</v>
      </c>
      <c r="L222" s="2">
        <f>SUMIFS($T$2:$T$10,$R$2:$R$10,F222)</f>
        <v>0.13</v>
      </c>
      <c r="M222" s="2">
        <f>SUMIFS($V$2:$V$10,$R$2:$R$10,D222)</f>
        <v>0.06</v>
      </c>
    </row>
    <row r="223" spans="1:13" x14ac:dyDescent="0.25">
      <c r="A223" s="2">
        <f>(A$2+A$2*K223+A$2*M223)*(1+L223)</f>
        <v>509.76</v>
      </c>
      <c r="B223" s="2">
        <f>(B$2+B$2*K223+B$2*M223)*(1+L223)</f>
        <v>592.92000000000007</v>
      </c>
      <c r="C223" s="2">
        <f>(C$2+C$2*K223+C$2*M223)*(1+L223)</f>
        <v>623.16</v>
      </c>
      <c r="D223" s="2">
        <v>6</v>
      </c>
      <c r="E223" s="2">
        <v>2</v>
      </c>
      <c r="F223" s="2">
        <v>0</v>
      </c>
      <c r="G223" s="2">
        <f>SUMIFS($S$2:$S$10,$R$2:$R$10,D223)</f>
        <v>15</v>
      </c>
      <c r="H223" s="2">
        <f>SUMIFS($S$2:$S$10,$R$2:$R$10,E223)</f>
        <v>2</v>
      </c>
      <c r="I223" s="2">
        <f>SUMIFS($S$2:$S$10,$R$2:$R$10,F223)</f>
        <v>0</v>
      </c>
      <c r="J223" s="2">
        <f>SUM(G223:I223)</f>
        <v>17</v>
      </c>
      <c r="K223" s="2">
        <f>SUMIFS($U$2:$U$10,$R$2:$R$10,E223)</f>
        <v>0.02</v>
      </c>
      <c r="L223" s="2">
        <f>SUMIFS($T$2:$T$10,$R$2:$R$10,F223)</f>
        <v>0</v>
      </c>
      <c r="M223" s="2">
        <f>SUMIFS($V$2:$V$10,$R$2:$R$10,D223)</f>
        <v>0.06</v>
      </c>
    </row>
    <row r="224" spans="1:13" x14ac:dyDescent="0.25">
      <c r="A224" s="1">
        <f>(A$2+A$2*K224+A$2*L224)*(1+M224)</f>
        <v>616.14880000000005</v>
      </c>
      <c r="B224" s="1">
        <f>(B$2+B$2*K224+B$2*L224)*(1+M224)</f>
        <v>716.66460000000006</v>
      </c>
      <c r="C224" s="1">
        <f>(C$2+C$2*K224+C$2*L224)*(1+M224)</f>
        <v>753.21579999999994</v>
      </c>
      <c r="D224" s="1">
        <v>4</v>
      </c>
      <c r="E224" s="1">
        <v>3</v>
      </c>
      <c r="F224" s="1">
        <v>4</v>
      </c>
      <c r="G224" s="1">
        <f>SUMIFS($S$2:$S$10,$R$2:$R$10,D224)</f>
        <v>7</v>
      </c>
      <c r="H224" s="1">
        <f>SUMIFS($S$2:$S$10,$R$2:$R$10,E224)</f>
        <v>4</v>
      </c>
      <c r="I224" s="1">
        <f>SUMIFS($S$2:$S$10,$R$2:$R$10,F224)</f>
        <v>7</v>
      </c>
      <c r="J224" s="1">
        <f>SUM(G224:I224)</f>
        <v>18</v>
      </c>
      <c r="K224" s="1">
        <f>SUMIFS($U$2:$U$10,$R$2:$R$10,E224)</f>
        <v>0.03</v>
      </c>
      <c r="L224" s="1">
        <f>SUMIFS($V$2:$V$10,$R$2:$R$10,F224)</f>
        <v>0.04</v>
      </c>
      <c r="M224" s="1">
        <f>SUMIFS($T$2:$T$10,$R$2:$R$10,D224)</f>
        <v>0.22</v>
      </c>
    </row>
    <row r="225" spans="1:13" x14ac:dyDescent="0.25">
      <c r="A225" s="1">
        <f>(A$2+A$2*K225+A$2*L225)*(1+M225)</f>
        <v>621.90719999999999</v>
      </c>
      <c r="B225" s="1">
        <f>(B$2+B$2*K225+B$2*L225)*(1+M225)</f>
        <v>723.36240000000009</v>
      </c>
      <c r="C225" s="1">
        <f>(C$2+C$2*K225+C$2*L225)*(1+M225)</f>
        <v>760.25519999999995</v>
      </c>
      <c r="D225" s="1">
        <v>4</v>
      </c>
      <c r="E225" s="1">
        <v>4</v>
      </c>
      <c r="F225" s="1">
        <v>3</v>
      </c>
      <c r="G225" s="1">
        <f>SUMIFS($S$2:$S$10,$R$2:$R$10,D225)</f>
        <v>7</v>
      </c>
      <c r="H225" s="1">
        <f>SUMIFS($S$2:$S$10,$R$2:$R$10,E225)</f>
        <v>7</v>
      </c>
      <c r="I225" s="1">
        <f>SUMIFS($S$2:$S$10,$R$2:$R$10,F225)</f>
        <v>4</v>
      </c>
      <c r="J225" s="1">
        <f>SUM(G225:I225)</f>
        <v>18</v>
      </c>
      <c r="K225" s="1">
        <f>SUMIFS($U$2:$U$10,$R$2:$R$10,E225)</f>
        <v>0.05</v>
      </c>
      <c r="L225" s="1">
        <f>SUMIFS($V$2:$V$10,$R$2:$R$10,F225)</f>
        <v>0.03</v>
      </c>
      <c r="M225" s="1">
        <f>SUMIFS($T$2:$T$10,$R$2:$R$10,D225)</f>
        <v>0.22</v>
      </c>
    </row>
    <row r="226" spans="1:13" x14ac:dyDescent="0.25">
      <c r="A226" s="1">
        <f>(A$2+A$2*K226+A$2*L226)*(1+M226)</f>
        <v>629.41200000000003</v>
      </c>
      <c r="B226" s="1">
        <f>(B$2+B$2*K226+B$2*L226)*(1+M226)</f>
        <v>732.09150000000011</v>
      </c>
      <c r="C226" s="1">
        <f>(C$2+C$2*K226+C$2*L226)*(1+M226)</f>
        <v>769.42950000000008</v>
      </c>
      <c r="D226" s="1">
        <v>5</v>
      </c>
      <c r="E226" s="1">
        <v>1</v>
      </c>
      <c r="F226" s="1">
        <v>4</v>
      </c>
      <c r="G226" s="1">
        <f>SUMIFS($S$2:$S$10,$R$2:$R$10,D226)</f>
        <v>10</v>
      </c>
      <c r="H226" s="1">
        <f>SUMIFS($S$2:$S$10,$R$2:$R$10,E226)</f>
        <v>1</v>
      </c>
      <c r="I226" s="1">
        <f>SUMIFS($S$2:$S$10,$R$2:$R$10,F226)</f>
        <v>7</v>
      </c>
      <c r="J226" s="1">
        <f>SUM(G226:I226)</f>
        <v>18</v>
      </c>
      <c r="K226" s="1">
        <f>SUMIFS($U$2:$U$10,$R$2:$R$10,E226)</f>
        <v>0.01</v>
      </c>
      <c r="L226" s="1">
        <f>SUMIFS($V$2:$V$10,$R$2:$R$10,F226)</f>
        <v>0.04</v>
      </c>
      <c r="M226" s="1">
        <f>SUMIFS($T$2:$T$10,$R$2:$R$10,D226)</f>
        <v>0.27</v>
      </c>
    </row>
    <row r="227" spans="1:13" x14ac:dyDescent="0.25">
      <c r="A227" s="1">
        <f>(A$2+A$2*K227+A$2*L227)*(1+M227)</f>
        <v>635.40640000000008</v>
      </c>
      <c r="B227" s="1">
        <f>(B$2+B$2*K227+B$2*L227)*(1+M227)</f>
        <v>739.06380000000013</v>
      </c>
      <c r="C227" s="1">
        <f>(C$2+C$2*K227+C$2*L227)*(1+M227)</f>
        <v>776.75739999999985</v>
      </c>
      <c r="D227" s="1">
        <v>5</v>
      </c>
      <c r="E227" s="1">
        <v>3</v>
      </c>
      <c r="F227" s="1">
        <v>3</v>
      </c>
      <c r="G227" s="1">
        <f>SUMIFS($S$2:$S$10,$R$2:$R$10,D227)</f>
        <v>10</v>
      </c>
      <c r="H227" s="1">
        <f>SUMIFS($S$2:$S$10,$R$2:$R$10,E227)</f>
        <v>4</v>
      </c>
      <c r="I227" s="1">
        <f>SUMIFS($S$2:$S$10,$R$2:$R$10,F227)</f>
        <v>4</v>
      </c>
      <c r="J227" s="1">
        <f>SUM(G227:I227)</f>
        <v>18</v>
      </c>
      <c r="K227" s="1">
        <f>SUMIFS($U$2:$U$10,$R$2:$R$10,E227)</f>
        <v>0.03</v>
      </c>
      <c r="L227" s="1">
        <f>SUMIFS($V$2:$V$10,$R$2:$R$10,F227)</f>
        <v>0.03</v>
      </c>
      <c r="M227" s="1">
        <f>SUMIFS($T$2:$T$10,$R$2:$R$10,D227)</f>
        <v>0.27</v>
      </c>
    </row>
    <row r="228" spans="1:13" x14ac:dyDescent="0.25">
      <c r="A228" s="1">
        <f>(A$2+A$2*K228+A$2*L228)*(1+M228)</f>
        <v>635.40640000000008</v>
      </c>
      <c r="B228" s="1">
        <f>(B$2+B$2*K228+B$2*L228)*(1+M228)</f>
        <v>739.06380000000013</v>
      </c>
      <c r="C228" s="1">
        <f>(C$2+C$2*K228+C$2*L228)*(1+M228)</f>
        <v>776.75739999999996</v>
      </c>
      <c r="D228" s="1">
        <v>5</v>
      </c>
      <c r="E228" s="1">
        <v>4</v>
      </c>
      <c r="F228" s="1">
        <v>1</v>
      </c>
      <c r="G228" s="1">
        <f>SUMIFS($S$2:$S$10,$R$2:$R$10,D228)</f>
        <v>10</v>
      </c>
      <c r="H228" s="1">
        <f>SUMIFS($S$2:$S$10,$R$2:$R$10,E228)</f>
        <v>7</v>
      </c>
      <c r="I228" s="1">
        <f>SUMIFS($S$2:$S$10,$R$2:$R$10,F228)</f>
        <v>1</v>
      </c>
      <c r="J228" s="1">
        <f>SUM(G228:I228)</f>
        <v>18</v>
      </c>
      <c r="K228" s="1">
        <f>SUMIFS($U$2:$U$10,$R$2:$R$10,E228)</f>
        <v>0.05</v>
      </c>
      <c r="L228" s="1">
        <f>SUMIFS($V$2:$V$10,$R$2:$R$10,F228)</f>
        <v>0.01</v>
      </c>
      <c r="M228" s="1">
        <f>SUMIFS($T$2:$T$10,$R$2:$R$10,D228)</f>
        <v>0.27</v>
      </c>
    </row>
    <row r="229" spans="1:13" x14ac:dyDescent="0.25">
      <c r="A229" s="1">
        <f>(A$2+A$2*K229+A$2*L229)*(1+M229)</f>
        <v>641.73120000000006</v>
      </c>
      <c r="B229" s="1">
        <f>(B$2+B$2*K229+B$2*L229)*(1+M229)</f>
        <v>746.42040000000009</v>
      </c>
      <c r="C229" s="1">
        <f>(C$2+C$2*K229+C$2*L229)*(1+M229)</f>
        <v>784.48919999999998</v>
      </c>
      <c r="D229" s="1">
        <v>6</v>
      </c>
      <c r="E229" s="1">
        <v>1</v>
      </c>
      <c r="F229" s="1">
        <v>2</v>
      </c>
      <c r="G229" s="1">
        <f>SUMIFS($S$2:$S$10,$R$2:$R$10,D229)</f>
        <v>15</v>
      </c>
      <c r="H229" s="1">
        <f>SUMIFS($S$2:$S$10,$R$2:$R$10,E229)</f>
        <v>1</v>
      </c>
      <c r="I229" s="1">
        <f>SUMIFS($S$2:$S$10,$R$2:$R$10,F229)</f>
        <v>2</v>
      </c>
      <c r="J229" s="1">
        <f>SUM(G229:I229)</f>
        <v>18</v>
      </c>
      <c r="K229" s="1">
        <f>SUMIFS($U$2:$U$10,$R$2:$R$10,E229)</f>
        <v>0.01</v>
      </c>
      <c r="L229" s="1">
        <f>SUMIFS($V$2:$V$10,$R$2:$R$10,F229)</f>
        <v>0.02</v>
      </c>
      <c r="M229" s="1">
        <f>SUMIFS($T$2:$T$10,$R$2:$R$10,D229)</f>
        <v>0.32</v>
      </c>
    </row>
    <row r="230" spans="1:13" x14ac:dyDescent="0.25">
      <c r="A230" s="1">
        <f>(A$2+A$2*K230+A$2*L230)*(1+M230)</f>
        <v>641.73120000000006</v>
      </c>
      <c r="B230" s="1">
        <f>(B$2+B$2*K230+B$2*L230)*(1+M230)</f>
        <v>746.42040000000009</v>
      </c>
      <c r="C230" s="1">
        <f>(C$2+C$2*K230+C$2*L230)*(1+M230)</f>
        <v>784.48919999999998</v>
      </c>
      <c r="D230" s="1">
        <v>6</v>
      </c>
      <c r="E230" s="1">
        <v>2</v>
      </c>
      <c r="F230" s="1">
        <v>1</v>
      </c>
      <c r="G230" s="1">
        <f>SUMIFS($S$2:$S$10,$R$2:$R$10,D230)</f>
        <v>15</v>
      </c>
      <c r="H230" s="1">
        <f>SUMIFS($S$2:$S$10,$R$2:$R$10,E230)</f>
        <v>2</v>
      </c>
      <c r="I230" s="1">
        <f>SUMIFS($S$2:$S$10,$R$2:$R$10,F230)</f>
        <v>1</v>
      </c>
      <c r="J230" s="1">
        <f>SUM(G230:I230)</f>
        <v>18</v>
      </c>
      <c r="K230" s="1">
        <f>SUMIFS($U$2:$U$10,$R$2:$R$10,E230)</f>
        <v>0.02</v>
      </c>
      <c r="L230" s="1">
        <f>SUMIFS($V$2:$V$10,$R$2:$R$10,F230)</f>
        <v>0.01</v>
      </c>
      <c r="M230" s="1">
        <f>SUMIFS($T$2:$T$10,$R$2:$R$10,D230)</f>
        <v>0.32</v>
      </c>
    </row>
    <row r="231" spans="1:13" x14ac:dyDescent="0.25">
      <c r="A231" s="3">
        <f>(A$2+A$2*M231+A$2*L231)*(1+K231)</f>
        <v>612.23119999999994</v>
      </c>
      <c r="B231" s="3">
        <f>(B$2+B$2*M231+B$2*L231)*(1+K231)</f>
        <v>712.10790000000009</v>
      </c>
      <c r="C231" s="3">
        <f>(C$2+C$2*M231+C$2*L231)*(1+K231)</f>
        <v>748.4267000000001</v>
      </c>
      <c r="D231" s="3">
        <v>4</v>
      </c>
      <c r="E231" s="3">
        <v>3</v>
      </c>
      <c r="F231" s="3">
        <v>4</v>
      </c>
      <c r="G231" s="3">
        <f>SUMIFS($S$2:$S$10,$R$2:$R$10,D231)</f>
        <v>7</v>
      </c>
      <c r="H231" s="3">
        <f>SUMIFS($S$2:$S$10,$R$2:$R$10,E231)</f>
        <v>4</v>
      </c>
      <c r="I231" s="3">
        <f>SUMIFS($S$2:$S$10,$R$2:$R$10,F231)</f>
        <v>7</v>
      </c>
      <c r="J231" s="3">
        <f>SUM(G231:I231)</f>
        <v>18</v>
      </c>
      <c r="K231" s="3">
        <f>SUMIFS($T$2:$T$10,$R$2:$R$10,E231)</f>
        <v>0.19</v>
      </c>
      <c r="L231" s="3">
        <f>SUMIFS($V$2:$V$10,$R$2:$R$10,F231)</f>
        <v>0.04</v>
      </c>
      <c r="M231" s="3">
        <f>SUMIFS($U$2:$U$10,$R$2:$R$10,D231)</f>
        <v>0.05</v>
      </c>
    </row>
    <row r="232" spans="1:13" x14ac:dyDescent="0.25">
      <c r="A232" s="3">
        <f>(A$2+A$2*M232+A$2*L232)*(1+K232)</f>
        <v>621.90719999999999</v>
      </c>
      <c r="B232" s="3">
        <f>(B$2+B$2*M232+B$2*L232)*(1+K232)</f>
        <v>723.36240000000009</v>
      </c>
      <c r="C232" s="3">
        <f>(C$2+C$2*M232+C$2*L232)*(1+K232)</f>
        <v>760.25519999999995</v>
      </c>
      <c r="D232" s="3">
        <v>4</v>
      </c>
      <c r="E232" s="3">
        <v>4</v>
      </c>
      <c r="F232" s="3">
        <v>3</v>
      </c>
      <c r="G232" s="3">
        <f>SUMIFS($S$2:$S$10,$R$2:$R$10,D232)</f>
        <v>7</v>
      </c>
      <c r="H232" s="3">
        <f>SUMIFS($S$2:$S$10,$R$2:$R$10,E232)</f>
        <v>7</v>
      </c>
      <c r="I232" s="3">
        <f>SUMIFS($S$2:$S$10,$R$2:$R$10,F232)</f>
        <v>4</v>
      </c>
      <c r="J232" s="3">
        <f>SUM(G232:I232)</f>
        <v>18</v>
      </c>
      <c r="K232" s="3">
        <f>SUMIFS($T$2:$T$10,$R$2:$R$10,E232)</f>
        <v>0.22</v>
      </c>
      <c r="L232" s="3">
        <f>SUMIFS($V$2:$V$10,$R$2:$R$10,F232)</f>
        <v>0.03</v>
      </c>
      <c r="M232" s="3">
        <f>SUMIFS($U$2:$U$10,$R$2:$R$10,D232)</f>
        <v>0.05</v>
      </c>
    </row>
    <row r="233" spans="1:13" x14ac:dyDescent="0.25">
      <c r="A233" s="3">
        <f>(A$2+A$2*M233+A$2*L233)*(1+K233)</f>
        <v>592.02960000000007</v>
      </c>
      <c r="B233" s="3">
        <f>(B$2+B$2*M233+B$2*L233)*(1+K233)</f>
        <v>688.61070000000007</v>
      </c>
      <c r="C233" s="3">
        <f>(C$2+C$2*M233+C$2*L233)*(1+K233)</f>
        <v>723.73109999999997</v>
      </c>
      <c r="D233" s="3">
        <v>5</v>
      </c>
      <c r="E233" s="3">
        <v>1</v>
      </c>
      <c r="F233" s="3">
        <v>4</v>
      </c>
      <c r="G233" s="3">
        <f>SUMIFS($S$2:$S$10,$R$2:$R$10,D233)</f>
        <v>10</v>
      </c>
      <c r="H233" s="3">
        <f>SUMIFS($S$2:$S$10,$R$2:$R$10,E233)</f>
        <v>1</v>
      </c>
      <c r="I233" s="3">
        <f>SUMIFS($S$2:$S$10,$R$2:$R$10,F233)</f>
        <v>7</v>
      </c>
      <c r="J233" s="3">
        <f>SUM(G233:I233)</f>
        <v>18</v>
      </c>
      <c r="K233" s="3">
        <f>SUMIFS($T$2:$T$10,$R$2:$R$10,E233)</f>
        <v>0.13</v>
      </c>
      <c r="L233" s="3">
        <f>SUMIFS($V$2:$V$10,$R$2:$R$10,F233)</f>
        <v>0.04</v>
      </c>
      <c r="M233" s="3">
        <f>SUMIFS($U$2:$U$10,$R$2:$R$10,D233)</f>
        <v>7.0000000000000007E-2</v>
      </c>
    </row>
    <row r="234" spans="1:13" x14ac:dyDescent="0.25">
      <c r="A234" s="3">
        <f>(A$2+A$2*M234+A$2*L234)*(1+K234)</f>
        <v>617.84800000000007</v>
      </c>
      <c r="B234" s="3">
        <f>(B$2+B$2*M234+B$2*L234)*(1+K234)</f>
        <v>718.64100000000008</v>
      </c>
      <c r="C234" s="3">
        <f>(C$2+C$2*M234+C$2*L234)*(1+K234)</f>
        <v>755.29299999999989</v>
      </c>
      <c r="D234" s="3">
        <v>5</v>
      </c>
      <c r="E234" s="3">
        <v>3</v>
      </c>
      <c r="F234" s="3">
        <v>3</v>
      </c>
      <c r="G234" s="3">
        <f>SUMIFS($S$2:$S$10,$R$2:$R$10,D234)</f>
        <v>10</v>
      </c>
      <c r="H234" s="3">
        <f>SUMIFS($S$2:$S$10,$R$2:$R$10,E234)</f>
        <v>4</v>
      </c>
      <c r="I234" s="3">
        <f>SUMIFS($S$2:$S$10,$R$2:$R$10,F234)</f>
        <v>4</v>
      </c>
      <c r="J234" s="3">
        <f>SUM(G234:I234)</f>
        <v>18</v>
      </c>
      <c r="K234" s="3">
        <f>SUMIFS($T$2:$T$10,$R$2:$R$10,E234)</f>
        <v>0.19</v>
      </c>
      <c r="L234" s="3">
        <f>SUMIFS($V$2:$V$10,$R$2:$R$10,F234)</f>
        <v>0.03</v>
      </c>
      <c r="M234" s="3">
        <f>SUMIFS($U$2:$U$10,$R$2:$R$10,D234)</f>
        <v>7.0000000000000007E-2</v>
      </c>
    </row>
    <row r="235" spans="1:13" x14ac:dyDescent="0.25">
      <c r="A235" s="3">
        <f>(A$2+A$2*M235+A$2*L235)*(1+K235)</f>
        <v>621.90719999999999</v>
      </c>
      <c r="B235" s="3">
        <f>(B$2+B$2*M235+B$2*L235)*(1+K235)</f>
        <v>723.36240000000009</v>
      </c>
      <c r="C235" s="3">
        <f>(C$2+C$2*M235+C$2*L235)*(1+K235)</f>
        <v>760.25519999999995</v>
      </c>
      <c r="D235" s="3">
        <v>5</v>
      </c>
      <c r="E235" s="3">
        <v>4</v>
      </c>
      <c r="F235" s="3">
        <v>1</v>
      </c>
      <c r="G235" s="3">
        <f>SUMIFS($S$2:$S$10,$R$2:$R$10,D235)</f>
        <v>10</v>
      </c>
      <c r="H235" s="3">
        <f>SUMIFS($S$2:$S$10,$R$2:$R$10,E235)</f>
        <v>7</v>
      </c>
      <c r="I235" s="3">
        <f>SUMIFS($S$2:$S$10,$R$2:$R$10,F235)</f>
        <v>1</v>
      </c>
      <c r="J235" s="3">
        <f>SUM(G235:I235)</f>
        <v>18</v>
      </c>
      <c r="K235" s="3">
        <f>SUMIFS($T$2:$T$10,$R$2:$R$10,E235)</f>
        <v>0.22</v>
      </c>
      <c r="L235" s="3">
        <f>SUMIFS($V$2:$V$10,$R$2:$R$10,F235)</f>
        <v>0.01</v>
      </c>
      <c r="M235" s="3">
        <f>SUMIFS($U$2:$U$10,$R$2:$R$10,D235)</f>
        <v>7.0000000000000007E-2</v>
      </c>
    </row>
    <row r="236" spans="1:13" x14ac:dyDescent="0.25">
      <c r="A236" s="3">
        <f>(A$2+A$2*M236+A$2*L236)*(1+K236)</f>
        <v>592.02960000000007</v>
      </c>
      <c r="B236" s="3">
        <f>(B$2+B$2*M236+B$2*L236)*(1+K236)</f>
        <v>688.61069999999995</v>
      </c>
      <c r="C236" s="3">
        <f>(C$2+C$2*M236+C$2*L236)*(1+K236)</f>
        <v>723.73109999999986</v>
      </c>
      <c r="D236" s="3">
        <v>6</v>
      </c>
      <c r="E236" s="3">
        <v>1</v>
      </c>
      <c r="F236" s="3">
        <v>2</v>
      </c>
      <c r="G236" s="3">
        <f>SUMIFS($S$2:$S$10,$R$2:$R$10,D236)</f>
        <v>15</v>
      </c>
      <c r="H236" s="3">
        <f>SUMIFS($S$2:$S$10,$R$2:$R$10,E236)</f>
        <v>1</v>
      </c>
      <c r="I236" s="3">
        <f>SUMIFS($S$2:$S$10,$R$2:$R$10,F236)</f>
        <v>2</v>
      </c>
      <c r="J236" s="3">
        <f>SUM(G236:I236)</f>
        <v>18</v>
      </c>
      <c r="K236" s="3">
        <f>SUMIFS($T$2:$T$10,$R$2:$R$10,E236)</f>
        <v>0.13</v>
      </c>
      <c r="L236" s="3">
        <f>SUMIFS($V$2:$V$10,$R$2:$R$10,F236)</f>
        <v>0.02</v>
      </c>
      <c r="M236" s="3">
        <f>SUMIFS($U$2:$U$10,$R$2:$R$10,D236)</f>
        <v>0.09</v>
      </c>
    </row>
    <row r="237" spans="1:13" x14ac:dyDescent="0.25">
      <c r="A237" s="3">
        <f>(A$2+A$2*M237+A$2*L237)*(1+K237)</f>
        <v>602.27200000000005</v>
      </c>
      <c r="B237" s="3">
        <f>(B$2+B$2*M237+B$2*L237)*(1+K237)</f>
        <v>700.52399999999989</v>
      </c>
      <c r="C237" s="3">
        <f>(C$2+C$2*M237+C$2*L237)*(1+K237)</f>
        <v>736.25199999999984</v>
      </c>
      <c r="D237" s="3">
        <v>6</v>
      </c>
      <c r="E237" s="3">
        <v>2</v>
      </c>
      <c r="F237" s="3">
        <v>1</v>
      </c>
      <c r="G237" s="3">
        <f>SUMIFS($S$2:$S$10,$R$2:$R$10,D237)</f>
        <v>15</v>
      </c>
      <c r="H237" s="3">
        <f>SUMIFS($S$2:$S$10,$R$2:$R$10,E237)</f>
        <v>2</v>
      </c>
      <c r="I237" s="3">
        <f>SUMIFS($S$2:$S$10,$R$2:$R$10,F237)</f>
        <v>1</v>
      </c>
      <c r="J237" s="3">
        <f>SUM(G237:I237)</f>
        <v>18</v>
      </c>
      <c r="K237" s="3">
        <f>SUMIFS($T$2:$T$10,$R$2:$R$10,E237)</f>
        <v>0.16</v>
      </c>
      <c r="L237" s="3">
        <f>SUMIFS($V$2:$V$10,$R$2:$R$10,F237)</f>
        <v>0.01</v>
      </c>
      <c r="M237" s="3">
        <f>SUMIFS($U$2:$U$10,$R$2:$R$10,D237)</f>
        <v>0.09</v>
      </c>
    </row>
    <row r="238" spans="1:13" x14ac:dyDescent="0.25">
      <c r="A238" s="2">
        <f>(A$2+A$2*K238+A$2*M238)*(1+L238)</f>
        <v>616.14880000000005</v>
      </c>
      <c r="B238" s="2">
        <f>(B$2+B$2*K238+B$2*M238)*(1+L238)</f>
        <v>716.66460000000006</v>
      </c>
      <c r="C238" s="2">
        <f>(C$2+C$2*K238+C$2*M238)*(1+L238)</f>
        <v>753.21579999999994</v>
      </c>
      <c r="D238" s="2">
        <v>4</v>
      </c>
      <c r="E238" s="2">
        <v>3</v>
      </c>
      <c r="F238" s="2">
        <v>4</v>
      </c>
      <c r="G238" s="2">
        <f>SUMIFS($S$2:$S$10,$R$2:$R$10,D238)</f>
        <v>7</v>
      </c>
      <c r="H238" s="2">
        <f>SUMIFS($S$2:$S$10,$R$2:$R$10,E238)</f>
        <v>4</v>
      </c>
      <c r="I238" s="2">
        <f>SUMIFS($S$2:$S$10,$R$2:$R$10,F238)</f>
        <v>7</v>
      </c>
      <c r="J238" s="2">
        <f>SUM(G238:I238)</f>
        <v>18</v>
      </c>
      <c r="K238" s="2">
        <f>SUMIFS($U$2:$U$10,$R$2:$R$10,E238)</f>
        <v>0.03</v>
      </c>
      <c r="L238" s="2">
        <f>SUMIFS($T$2:$T$10,$R$2:$R$10,F238)</f>
        <v>0.22</v>
      </c>
      <c r="M238" s="2">
        <f>SUMIFS($V$2:$V$10,$R$2:$R$10,D238)</f>
        <v>0.04</v>
      </c>
    </row>
    <row r="239" spans="1:13" x14ac:dyDescent="0.25">
      <c r="A239" s="2">
        <f>(A$2+A$2*K239+A$2*M239)*(1+L239)</f>
        <v>612.23119999999994</v>
      </c>
      <c r="B239" s="2">
        <f>(B$2+B$2*K239+B$2*M239)*(1+L239)</f>
        <v>712.10790000000009</v>
      </c>
      <c r="C239" s="2">
        <f>(C$2+C$2*K239+C$2*M239)*(1+L239)</f>
        <v>748.4267000000001</v>
      </c>
      <c r="D239" s="2">
        <v>4</v>
      </c>
      <c r="E239" s="2">
        <v>4</v>
      </c>
      <c r="F239" s="2">
        <v>3</v>
      </c>
      <c r="G239" s="2">
        <f>SUMIFS($S$2:$S$10,$R$2:$R$10,D239)</f>
        <v>7</v>
      </c>
      <c r="H239" s="2">
        <f>SUMIFS($S$2:$S$10,$R$2:$R$10,E239)</f>
        <v>7</v>
      </c>
      <c r="I239" s="2">
        <f>SUMIFS($S$2:$S$10,$R$2:$R$10,F239)</f>
        <v>4</v>
      </c>
      <c r="J239" s="2">
        <f>SUM(G239:I239)</f>
        <v>18</v>
      </c>
      <c r="K239" s="2">
        <f>SUMIFS($U$2:$U$10,$R$2:$R$10,E239)</f>
        <v>0.05</v>
      </c>
      <c r="L239" s="2">
        <f>SUMIFS($T$2:$T$10,$R$2:$R$10,F239)</f>
        <v>0.19</v>
      </c>
      <c r="M239" s="2">
        <f>SUMIFS($V$2:$V$10,$R$2:$R$10,D239)</f>
        <v>0.04</v>
      </c>
    </row>
    <row r="240" spans="1:13" x14ac:dyDescent="0.25">
      <c r="A240" s="2">
        <f>(A$2+A$2*K240+A$2*M240)*(1+L240)</f>
        <v>610.3904</v>
      </c>
      <c r="B240" s="2">
        <f>(B$2+B$2*K240+B$2*M240)*(1+L240)</f>
        <v>709.96680000000003</v>
      </c>
      <c r="C240" s="2">
        <f>(C$2+C$2*K240+C$2*M240)*(1+L240)</f>
        <v>746.17639999999994</v>
      </c>
      <c r="D240" s="2">
        <v>5</v>
      </c>
      <c r="E240" s="2">
        <v>1</v>
      </c>
      <c r="F240" s="2">
        <v>4</v>
      </c>
      <c r="G240" s="2">
        <f>SUMIFS($S$2:$S$10,$R$2:$R$10,D240)</f>
        <v>10</v>
      </c>
      <c r="H240" s="2">
        <f>SUMIFS($S$2:$S$10,$R$2:$R$10,E240)</f>
        <v>1</v>
      </c>
      <c r="I240" s="2">
        <f>SUMIFS($S$2:$S$10,$R$2:$R$10,F240)</f>
        <v>7</v>
      </c>
      <c r="J240" s="2">
        <f>SUM(G240:I240)</f>
        <v>18</v>
      </c>
      <c r="K240" s="2">
        <f>SUMIFS($U$2:$U$10,$R$2:$R$10,E240)</f>
        <v>0.01</v>
      </c>
      <c r="L240" s="2">
        <f>SUMIFS($T$2:$T$10,$R$2:$R$10,F240)</f>
        <v>0.22</v>
      </c>
      <c r="M240" s="2">
        <f>SUMIFS($V$2:$V$10,$R$2:$R$10,D240)</f>
        <v>0.05</v>
      </c>
    </row>
    <row r="241" spans="1:13" x14ac:dyDescent="0.25">
      <c r="A241" s="2">
        <f>(A$2+A$2*K241+A$2*M241)*(1+L241)</f>
        <v>606.61440000000005</v>
      </c>
      <c r="B241" s="2">
        <f>(B$2+B$2*K241+B$2*M241)*(1+L241)</f>
        <v>705.5748000000001</v>
      </c>
      <c r="C241" s="2">
        <f>(C$2+C$2*K241+C$2*M241)*(1+L241)</f>
        <v>741.56039999999996</v>
      </c>
      <c r="D241" s="2">
        <v>5</v>
      </c>
      <c r="E241" s="2">
        <v>3</v>
      </c>
      <c r="F241" s="2">
        <v>3</v>
      </c>
      <c r="G241" s="2">
        <f>SUMIFS($S$2:$S$10,$R$2:$R$10,D241)</f>
        <v>10</v>
      </c>
      <c r="H241" s="2">
        <f>SUMIFS($S$2:$S$10,$R$2:$R$10,E241)</f>
        <v>4</v>
      </c>
      <c r="I241" s="2">
        <f>SUMIFS($S$2:$S$10,$R$2:$R$10,F241)</f>
        <v>4</v>
      </c>
      <c r="J241" s="2">
        <f>SUM(G241:I241)</f>
        <v>18</v>
      </c>
      <c r="K241" s="2">
        <f>SUMIFS($U$2:$U$10,$R$2:$R$10,E241)</f>
        <v>0.03</v>
      </c>
      <c r="L241" s="2">
        <f>SUMIFS($T$2:$T$10,$R$2:$R$10,F241)</f>
        <v>0.19</v>
      </c>
      <c r="M241" s="2">
        <f>SUMIFS($V$2:$V$10,$R$2:$R$10,D241)</f>
        <v>0.05</v>
      </c>
    </row>
    <row r="242" spans="1:13" x14ac:dyDescent="0.25">
      <c r="A242" s="2">
        <f>(A$2+A$2*K242+A$2*M242)*(1+L242)</f>
        <v>586.69600000000003</v>
      </c>
      <c r="B242" s="2">
        <f>(B$2+B$2*K242+B$2*M242)*(1+L242)</f>
        <v>682.40700000000004</v>
      </c>
      <c r="C242" s="2">
        <f>(C$2+C$2*K242+C$2*M242)*(1+L242)</f>
        <v>717.21100000000001</v>
      </c>
      <c r="D242" s="2">
        <v>5</v>
      </c>
      <c r="E242" s="2">
        <v>4</v>
      </c>
      <c r="F242" s="2">
        <v>1</v>
      </c>
      <c r="G242" s="2">
        <f>SUMIFS($S$2:$S$10,$R$2:$R$10,D242)</f>
        <v>10</v>
      </c>
      <c r="H242" s="2">
        <f>SUMIFS($S$2:$S$10,$R$2:$R$10,E242)</f>
        <v>7</v>
      </c>
      <c r="I242" s="2">
        <f>SUMIFS($S$2:$S$10,$R$2:$R$10,F242)</f>
        <v>1</v>
      </c>
      <c r="J242" s="2">
        <f>SUM(G242:I242)</f>
        <v>18</v>
      </c>
      <c r="K242" s="2">
        <f>SUMIFS($U$2:$U$10,$R$2:$R$10,E242)</f>
        <v>0.05</v>
      </c>
      <c r="L242" s="2">
        <f>SUMIFS($T$2:$T$10,$R$2:$R$10,F242)</f>
        <v>0.13</v>
      </c>
      <c r="M242" s="2">
        <f>SUMIFS($V$2:$V$10,$R$2:$R$10,D242)</f>
        <v>0.05</v>
      </c>
    </row>
    <row r="243" spans="1:13" x14ac:dyDescent="0.25">
      <c r="A243" s="2">
        <f>(A$2+A$2*K243+A$2*M243)*(1+L243)</f>
        <v>585.84640000000002</v>
      </c>
      <c r="B243" s="2">
        <f>(B$2+B$2*K243+B$2*M243)*(1+L243)</f>
        <v>681.41880000000003</v>
      </c>
      <c r="C243" s="2">
        <f>(C$2+C$2*K243+C$2*M243)*(1+L243)</f>
        <v>716.17239999999993</v>
      </c>
      <c r="D243" s="2">
        <v>6</v>
      </c>
      <c r="E243" s="2">
        <v>1</v>
      </c>
      <c r="F243" s="2">
        <v>2</v>
      </c>
      <c r="G243" s="2">
        <f>SUMIFS($S$2:$S$10,$R$2:$R$10,D243)</f>
        <v>15</v>
      </c>
      <c r="H243" s="2">
        <f>SUMIFS($S$2:$S$10,$R$2:$R$10,E243)</f>
        <v>1</v>
      </c>
      <c r="I243" s="2">
        <f>SUMIFS($S$2:$S$10,$R$2:$R$10,F243)</f>
        <v>2</v>
      </c>
      <c r="J243" s="2">
        <f>SUM(G243:I243)</f>
        <v>18</v>
      </c>
      <c r="K243" s="2">
        <f>SUMIFS($U$2:$U$10,$R$2:$R$10,E243)</f>
        <v>0.01</v>
      </c>
      <c r="L243" s="2">
        <f>SUMIFS($T$2:$T$10,$R$2:$R$10,F243)</f>
        <v>0.16</v>
      </c>
      <c r="M243" s="2">
        <f>SUMIFS($V$2:$V$10,$R$2:$R$10,D243)</f>
        <v>0.06</v>
      </c>
    </row>
    <row r="244" spans="1:13" x14ac:dyDescent="0.25">
      <c r="A244" s="2">
        <f>(A$2+A$2*K244+A$2*M244)*(1+L244)</f>
        <v>576.02879999999993</v>
      </c>
      <c r="B244" s="2">
        <f>(B$2+B$2*K244+B$2*M244)*(1+L244)</f>
        <v>669.99959999999999</v>
      </c>
      <c r="C244" s="2">
        <f>(C$2+C$2*K244+C$2*M244)*(1+L244)</f>
        <v>704.17079999999987</v>
      </c>
      <c r="D244" s="2">
        <v>6</v>
      </c>
      <c r="E244" s="2">
        <v>2</v>
      </c>
      <c r="F244" s="2">
        <v>1</v>
      </c>
      <c r="G244" s="2">
        <f>SUMIFS($S$2:$S$10,$R$2:$R$10,D244)</f>
        <v>15</v>
      </c>
      <c r="H244" s="2">
        <f>SUMIFS($S$2:$S$10,$R$2:$R$10,E244)</f>
        <v>2</v>
      </c>
      <c r="I244" s="2">
        <f>SUMIFS($S$2:$S$10,$R$2:$R$10,F244)</f>
        <v>1</v>
      </c>
      <c r="J244" s="2">
        <f>SUM(G244:I244)</f>
        <v>18</v>
      </c>
      <c r="K244" s="2">
        <f>SUMIFS($U$2:$U$10,$R$2:$R$10,E244)</f>
        <v>0.02</v>
      </c>
      <c r="L244" s="2">
        <f>SUMIFS($T$2:$T$10,$R$2:$R$10,F244)</f>
        <v>0.13</v>
      </c>
      <c r="M244" s="2">
        <f>SUMIFS($V$2:$V$10,$R$2:$R$10,D244)</f>
        <v>0.06</v>
      </c>
    </row>
    <row r="245" spans="1:13" x14ac:dyDescent="0.25">
      <c r="A245" s="1">
        <f>(A$2+A$2*K245+A$2*L245)*(1+M245)</f>
        <v>635.40639999999996</v>
      </c>
      <c r="B245" s="1">
        <f>(B$2+B$2*K245+B$2*L245)*(1+M245)</f>
        <v>739.06380000000013</v>
      </c>
      <c r="C245" s="1">
        <f>(C$2+C$2*K245+C$2*L245)*(1+M245)</f>
        <v>776.75739999999996</v>
      </c>
      <c r="D245" s="1">
        <v>5</v>
      </c>
      <c r="E245" s="1">
        <v>2</v>
      </c>
      <c r="F245" s="1">
        <v>4</v>
      </c>
      <c r="G245" s="1">
        <f>SUMIFS($S$2:$S$10,$R$2:$R$10,D245)</f>
        <v>10</v>
      </c>
      <c r="H245" s="1">
        <f>SUMIFS($S$2:$S$10,$R$2:$R$10,E245)</f>
        <v>2</v>
      </c>
      <c r="I245" s="1">
        <f>SUMIFS($S$2:$S$10,$R$2:$R$10,F245)</f>
        <v>7</v>
      </c>
      <c r="J245" s="1">
        <f>SUM(G245:I245)</f>
        <v>19</v>
      </c>
      <c r="K245" s="1">
        <f>SUMIFS($U$2:$U$10,$R$2:$R$10,E245)</f>
        <v>0.02</v>
      </c>
      <c r="L245" s="1">
        <f>SUMIFS($V$2:$V$10,$R$2:$R$10,F245)</f>
        <v>0.04</v>
      </c>
      <c r="M245" s="1">
        <f>SUMIFS($T$2:$T$10,$R$2:$R$10,D245)</f>
        <v>0.27</v>
      </c>
    </row>
    <row r="246" spans="1:13" x14ac:dyDescent="0.25">
      <c r="A246" s="1">
        <f>(A$2+A$2*K246+A$2*L246)*(1+M246)</f>
        <v>641.4008</v>
      </c>
      <c r="B246" s="1">
        <f>(B$2+B$2*K246+B$2*L246)*(1+M246)</f>
        <v>746.03610000000015</v>
      </c>
      <c r="C246" s="1">
        <f>(C$2+C$2*K246+C$2*L246)*(1+M246)</f>
        <v>784.08529999999996</v>
      </c>
      <c r="D246" s="1">
        <v>5</v>
      </c>
      <c r="E246" s="1">
        <v>4</v>
      </c>
      <c r="F246" s="1">
        <v>2</v>
      </c>
      <c r="G246" s="1">
        <f>SUMIFS($S$2:$S$10,$R$2:$R$10,D246)</f>
        <v>10</v>
      </c>
      <c r="H246" s="1">
        <f>SUMIFS($S$2:$S$10,$R$2:$R$10,E246)</f>
        <v>7</v>
      </c>
      <c r="I246" s="1">
        <f>SUMIFS($S$2:$S$10,$R$2:$R$10,F246)</f>
        <v>2</v>
      </c>
      <c r="J246" s="1">
        <f>SUM(G246:I246)</f>
        <v>19</v>
      </c>
      <c r="K246" s="1">
        <f>SUMIFS($U$2:$U$10,$R$2:$R$10,E246)</f>
        <v>0.05</v>
      </c>
      <c r="L246" s="1">
        <f>SUMIFS($V$2:$V$10,$R$2:$R$10,F246)</f>
        <v>0.02</v>
      </c>
      <c r="M246" s="1">
        <f>SUMIFS($T$2:$T$10,$R$2:$R$10,D246)</f>
        <v>0.27</v>
      </c>
    </row>
    <row r="247" spans="1:13" x14ac:dyDescent="0.25">
      <c r="A247" s="1">
        <f>(A$2+A$2*K247+A$2*L247)*(1+M247)</f>
        <v>641.73120000000006</v>
      </c>
      <c r="B247" s="1">
        <f>(B$2+B$2*K247+B$2*L247)*(1+M247)</f>
        <v>746.42040000000009</v>
      </c>
      <c r="C247" s="1">
        <f>(C$2+C$2*K247+C$2*L247)*(1+M247)</f>
        <v>784.48919999999998</v>
      </c>
      <c r="D247" s="1">
        <v>6</v>
      </c>
      <c r="E247" s="1">
        <v>0</v>
      </c>
      <c r="F247" s="1">
        <v>3</v>
      </c>
      <c r="G247" s="1">
        <f>SUMIFS($S$2:$S$10,$R$2:$R$10,D247)</f>
        <v>15</v>
      </c>
      <c r="H247" s="1">
        <f>SUMIFS($S$2:$S$10,$R$2:$R$10,E247)</f>
        <v>0</v>
      </c>
      <c r="I247" s="1">
        <f>SUMIFS($S$2:$S$10,$R$2:$R$10,F247)</f>
        <v>4</v>
      </c>
      <c r="J247" s="1">
        <f>SUM(G247:I247)</f>
        <v>19</v>
      </c>
      <c r="K247" s="1">
        <f>SUMIFS($U$2:$U$10,$R$2:$R$10,E247)</f>
        <v>0</v>
      </c>
      <c r="L247" s="1">
        <f>SUMIFS($V$2:$V$10,$R$2:$R$10,F247)</f>
        <v>0.03</v>
      </c>
      <c r="M247" s="1">
        <f>SUMIFS($T$2:$T$10,$R$2:$R$10,D247)</f>
        <v>0.32</v>
      </c>
    </row>
    <row r="248" spans="1:13" x14ac:dyDescent="0.25">
      <c r="A248" s="1">
        <f>(A$2+A$2*K248+A$2*L248)*(1+M248)</f>
        <v>647.96159999999998</v>
      </c>
      <c r="B248" s="1">
        <f>(B$2+B$2*K248+B$2*L248)*(1+M248)</f>
        <v>753.66720000000009</v>
      </c>
      <c r="C248" s="1">
        <f>(C$2+C$2*K248+C$2*L248)*(1+M248)</f>
        <v>792.10559999999998</v>
      </c>
      <c r="D248" s="1">
        <v>6</v>
      </c>
      <c r="E248" s="1">
        <v>2</v>
      </c>
      <c r="F248" s="1">
        <v>2</v>
      </c>
      <c r="G248" s="1">
        <f>SUMIFS($S$2:$S$10,$R$2:$R$10,D248)</f>
        <v>15</v>
      </c>
      <c r="H248" s="1">
        <f>SUMIFS($S$2:$S$10,$R$2:$R$10,E248)</f>
        <v>2</v>
      </c>
      <c r="I248" s="1">
        <f>SUMIFS($S$2:$S$10,$R$2:$R$10,F248)</f>
        <v>2</v>
      </c>
      <c r="J248" s="1">
        <f>SUM(G248:I248)</f>
        <v>19</v>
      </c>
      <c r="K248" s="1">
        <f>SUMIFS($U$2:$U$10,$R$2:$R$10,E248)</f>
        <v>0.02</v>
      </c>
      <c r="L248" s="1">
        <f>SUMIFS($V$2:$V$10,$R$2:$R$10,F248)</f>
        <v>0.02</v>
      </c>
      <c r="M248" s="1">
        <f>SUMIFS($T$2:$T$10,$R$2:$R$10,D248)</f>
        <v>0.32</v>
      </c>
    </row>
    <row r="249" spans="1:13" x14ac:dyDescent="0.25">
      <c r="A249" s="1">
        <f>(A$2+A$2*K249+A$2*L249)*(1+M249)</f>
        <v>641.73120000000006</v>
      </c>
      <c r="B249" s="1">
        <f>(B$2+B$2*K249+B$2*L249)*(1+M249)</f>
        <v>746.42040000000009</v>
      </c>
      <c r="C249" s="1">
        <f>(C$2+C$2*K249+C$2*L249)*(1+M249)</f>
        <v>784.48919999999998</v>
      </c>
      <c r="D249" s="1">
        <v>6</v>
      </c>
      <c r="E249" s="1">
        <v>3</v>
      </c>
      <c r="F249" s="1">
        <v>0</v>
      </c>
      <c r="G249" s="1">
        <f>SUMIFS($S$2:$S$10,$R$2:$R$10,D249)</f>
        <v>15</v>
      </c>
      <c r="H249" s="1">
        <f>SUMIFS($S$2:$S$10,$R$2:$R$10,E249)</f>
        <v>4</v>
      </c>
      <c r="I249" s="1">
        <f>SUMIFS($S$2:$S$10,$R$2:$R$10,F249)</f>
        <v>0</v>
      </c>
      <c r="J249" s="1">
        <f>SUM(G249:I249)</f>
        <v>19</v>
      </c>
      <c r="K249" s="1">
        <f>SUMIFS($U$2:$U$10,$R$2:$R$10,E249)</f>
        <v>0.03</v>
      </c>
      <c r="L249" s="1">
        <f>SUMIFS($V$2:$V$10,$R$2:$R$10,F249)</f>
        <v>0</v>
      </c>
      <c r="M249" s="1">
        <f>SUMIFS($T$2:$T$10,$R$2:$R$10,D249)</f>
        <v>0.32</v>
      </c>
    </row>
    <row r="250" spans="1:13" x14ac:dyDescent="0.25">
      <c r="A250" s="3">
        <f>(A$2+A$2*M250+A$2*L250)*(1+K250)</f>
        <v>607.74720000000002</v>
      </c>
      <c r="B250" s="3">
        <f>(B$2+B$2*M250+B$2*L250)*(1+K250)</f>
        <v>706.89240000000007</v>
      </c>
      <c r="C250" s="3">
        <f>(C$2+C$2*M250+C$2*L250)*(1+K250)</f>
        <v>742.9452</v>
      </c>
      <c r="D250" s="3">
        <v>5</v>
      </c>
      <c r="E250" s="3">
        <v>2</v>
      </c>
      <c r="F250" s="3">
        <v>4</v>
      </c>
      <c r="G250" s="3">
        <f>SUMIFS($S$2:$S$10,$R$2:$R$10,D250)</f>
        <v>10</v>
      </c>
      <c r="H250" s="3">
        <f>SUMIFS($S$2:$S$10,$R$2:$R$10,E250)</f>
        <v>2</v>
      </c>
      <c r="I250" s="3">
        <f>SUMIFS($S$2:$S$10,$R$2:$R$10,F250)</f>
        <v>7</v>
      </c>
      <c r="J250" s="3">
        <f>SUM(G250:I250)</f>
        <v>19</v>
      </c>
      <c r="K250" s="3">
        <f>SUMIFS($T$2:$T$10,$R$2:$R$10,E250)</f>
        <v>0.16</v>
      </c>
      <c r="L250" s="3">
        <f>SUMIFS($V$2:$V$10,$R$2:$R$10,F250)</f>
        <v>0.04</v>
      </c>
      <c r="M250" s="3">
        <f>SUMIFS($U$2:$U$10,$R$2:$R$10,D250)</f>
        <v>7.0000000000000007E-2</v>
      </c>
    </row>
    <row r="251" spans="1:13" x14ac:dyDescent="0.25">
      <c r="A251" s="3">
        <f>(A$2+A$2*M251+A$2*L251)*(1+K251)</f>
        <v>627.66560000000004</v>
      </c>
      <c r="B251" s="3">
        <f>(B$2+B$2*M251+B$2*L251)*(1+K251)</f>
        <v>730.06020000000012</v>
      </c>
      <c r="C251" s="3">
        <f>(C$2+C$2*M251+C$2*L251)*(1+K251)</f>
        <v>767.29459999999995</v>
      </c>
      <c r="D251" s="3">
        <v>5</v>
      </c>
      <c r="E251" s="3">
        <v>4</v>
      </c>
      <c r="F251" s="3">
        <v>2</v>
      </c>
      <c r="G251" s="3">
        <f>SUMIFS($S$2:$S$10,$R$2:$R$10,D251)</f>
        <v>10</v>
      </c>
      <c r="H251" s="3">
        <f>SUMIFS($S$2:$S$10,$R$2:$R$10,E251)</f>
        <v>7</v>
      </c>
      <c r="I251" s="3">
        <f>SUMIFS($S$2:$S$10,$R$2:$R$10,F251)</f>
        <v>2</v>
      </c>
      <c r="J251" s="3">
        <f>SUM(G251:I251)</f>
        <v>19</v>
      </c>
      <c r="K251" s="3">
        <f>SUMIFS($T$2:$T$10,$R$2:$R$10,E251)</f>
        <v>0.22</v>
      </c>
      <c r="L251" s="3">
        <f>SUMIFS($V$2:$V$10,$R$2:$R$10,F251)</f>
        <v>0.02</v>
      </c>
      <c r="M251" s="3">
        <f>SUMIFS($U$2:$U$10,$R$2:$R$10,D251)</f>
        <v>7.0000000000000007E-2</v>
      </c>
    </row>
    <row r="252" spans="1:13" x14ac:dyDescent="0.25">
      <c r="A252" s="3">
        <f>(A$2+A$2*M252+A$2*L252)*(1+K252)</f>
        <v>528.64</v>
      </c>
      <c r="B252" s="3">
        <f>(B$2+B$2*M252+B$2*L252)*(1+K252)</f>
        <v>614.88</v>
      </c>
      <c r="C252" s="3">
        <f>(C$2+C$2*M252+C$2*L252)*(1+K252)</f>
        <v>646.2399999999999</v>
      </c>
      <c r="D252" s="3">
        <v>6</v>
      </c>
      <c r="E252" s="3">
        <v>0</v>
      </c>
      <c r="F252" s="3">
        <v>3</v>
      </c>
      <c r="G252" s="3">
        <f>SUMIFS($S$2:$S$10,$R$2:$R$10,D252)</f>
        <v>15</v>
      </c>
      <c r="H252" s="3">
        <f>SUMIFS($S$2:$S$10,$R$2:$R$10,E252)</f>
        <v>0</v>
      </c>
      <c r="I252" s="3">
        <f>SUMIFS($S$2:$S$10,$R$2:$R$10,F252)</f>
        <v>4</v>
      </c>
      <c r="J252" s="3">
        <f>SUM(G252:I252)</f>
        <v>19</v>
      </c>
      <c r="K252" s="3">
        <f>SUMIFS($T$2:$T$10,$R$2:$R$10,E252)</f>
        <v>0</v>
      </c>
      <c r="L252" s="3">
        <f>SUMIFS($V$2:$V$10,$R$2:$R$10,F252)</f>
        <v>0.03</v>
      </c>
      <c r="M252" s="3">
        <f>SUMIFS($U$2:$U$10,$R$2:$R$10,D252)</f>
        <v>0.09</v>
      </c>
    </row>
    <row r="253" spans="1:13" x14ac:dyDescent="0.25">
      <c r="A253" s="3">
        <f>(A$2+A$2*M253+A$2*L253)*(1+K253)</f>
        <v>607.74720000000002</v>
      </c>
      <c r="B253" s="3">
        <f>(B$2+B$2*M253+B$2*L253)*(1+K253)</f>
        <v>706.89239999999995</v>
      </c>
      <c r="C253" s="3">
        <f>(C$2+C$2*M253+C$2*L253)*(1+K253)</f>
        <v>742.94519999999989</v>
      </c>
      <c r="D253" s="3">
        <v>6</v>
      </c>
      <c r="E253" s="3">
        <v>2</v>
      </c>
      <c r="F253" s="3">
        <v>2</v>
      </c>
      <c r="G253" s="3">
        <f>SUMIFS($S$2:$S$10,$R$2:$R$10,D253)</f>
        <v>15</v>
      </c>
      <c r="H253" s="3">
        <f>SUMIFS($S$2:$S$10,$R$2:$R$10,E253)</f>
        <v>2</v>
      </c>
      <c r="I253" s="3">
        <f>SUMIFS($S$2:$S$10,$R$2:$R$10,F253)</f>
        <v>2</v>
      </c>
      <c r="J253" s="3">
        <f>SUM(G253:I253)</f>
        <v>19</v>
      </c>
      <c r="K253" s="3">
        <f>SUMIFS($T$2:$T$10,$R$2:$R$10,E253)</f>
        <v>0.16</v>
      </c>
      <c r="L253" s="3">
        <f>SUMIFS($V$2:$V$10,$R$2:$R$10,F253)</f>
        <v>0.02</v>
      </c>
      <c r="M253" s="3">
        <f>SUMIFS($U$2:$U$10,$R$2:$R$10,D253)</f>
        <v>0.09</v>
      </c>
    </row>
    <row r="254" spans="1:13" x14ac:dyDescent="0.25">
      <c r="A254" s="3">
        <f>(A$2+A$2*M254+A$2*L254)*(1+K254)</f>
        <v>612.23119999999994</v>
      </c>
      <c r="B254" s="3">
        <f>(B$2+B$2*M254+B$2*L254)*(1+K254)</f>
        <v>712.10789999999997</v>
      </c>
      <c r="C254" s="3">
        <f>(C$2+C$2*M254+C$2*L254)*(1+K254)</f>
        <v>748.42669999999987</v>
      </c>
      <c r="D254" s="3">
        <v>6</v>
      </c>
      <c r="E254" s="3">
        <v>3</v>
      </c>
      <c r="F254" s="3">
        <v>0</v>
      </c>
      <c r="G254" s="3">
        <f>SUMIFS($S$2:$S$10,$R$2:$R$10,D254)</f>
        <v>15</v>
      </c>
      <c r="H254" s="3">
        <f>SUMIFS($S$2:$S$10,$R$2:$R$10,E254)</f>
        <v>4</v>
      </c>
      <c r="I254" s="3">
        <f>SUMIFS($S$2:$S$10,$R$2:$R$10,F254)</f>
        <v>0</v>
      </c>
      <c r="J254" s="3">
        <f>SUM(G254:I254)</f>
        <v>19</v>
      </c>
      <c r="K254" s="3">
        <f>SUMIFS($T$2:$T$10,$R$2:$R$10,E254)</f>
        <v>0.19</v>
      </c>
      <c r="L254" s="3">
        <f>SUMIFS($V$2:$V$10,$R$2:$R$10,F254)</f>
        <v>0</v>
      </c>
      <c r="M254" s="3">
        <f>SUMIFS($U$2:$U$10,$R$2:$R$10,D254)</f>
        <v>0.09</v>
      </c>
    </row>
    <row r="255" spans="1:13" x14ac:dyDescent="0.25">
      <c r="A255" s="2">
        <f>(A$2+A$2*K255+A$2*M255)*(1+L255)</f>
        <v>616.14880000000005</v>
      </c>
      <c r="B255" s="2">
        <f>(B$2+B$2*K255+B$2*M255)*(1+L255)</f>
        <v>716.66460000000006</v>
      </c>
      <c r="C255" s="2">
        <f>(C$2+C$2*K255+C$2*M255)*(1+L255)</f>
        <v>753.21579999999994</v>
      </c>
      <c r="D255" s="2">
        <v>5</v>
      </c>
      <c r="E255" s="2">
        <v>2</v>
      </c>
      <c r="F255" s="2">
        <v>4</v>
      </c>
      <c r="G255" s="2">
        <f>SUMIFS($S$2:$S$10,$R$2:$R$10,D255)</f>
        <v>10</v>
      </c>
      <c r="H255" s="2">
        <f>SUMIFS($S$2:$S$10,$R$2:$R$10,E255)</f>
        <v>2</v>
      </c>
      <c r="I255" s="2">
        <f>SUMIFS($S$2:$S$10,$R$2:$R$10,F255)</f>
        <v>7</v>
      </c>
      <c r="J255" s="2">
        <f>SUM(G255:I255)</f>
        <v>19</v>
      </c>
      <c r="K255" s="2">
        <f>SUMIFS($U$2:$U$10,$R$2:$R$10,E255)</f>
        <v>0.02</v>
      </c>
      <c r="L255" s="2">
        <f>SUMIFS($T$2:$T$10,$R$2:$R$10,F255)</f>
        <v>0.22</v>
      </c>
      <c r="M255" s="2">
        <f>SUMIFS($V$2:$V$10,$R$2:$R$10,D255)</f>
        <v>0.05</v>
      </c>
    </row>
    <row r="256" spans="1:13" x14ac:dyDescent="0.25">
      <c r="A256" s="2">
        <f>(A$2+A$2*K256+A$2*M256)*(1+L256)</f>
        <v>602.27200000000005</v>
      </c>
      <c r="B256" s="2">
        <f>(B$2+B$2*K256+B$2*M256)*(1+L256)</f>
        <v>700.524</v>
      </c>
      <c r="C256" s="2">
        <f>(C$2+C$2*K256+C$2*M256)*(1+L256)</f>
        <v>736.25199999999995</v>
      </c>
      <c r="D256" s="2">
        <v>5</v>
      </c>
      <c r="E256" s="2">
        <v>4</v>
      </c>
      <c r="F256" s="2">
        <v>2</v>
      </c>
      <c r="G256" s="2">
        <f>SUMIFS($S$2:$S$10,$R$2:$R$10,D256)</f>
        <v>10</v>
      </c>
      <c r="H256" s="2">
        <f>SUMIFS($S$2:$S$10,$R$2:$R$10,E256)</f>
        <v>7</v>
      </c>
      <c r="I256" s="2">
        <f>SUMIFS($S$2:$S$10,$R$2:$R$10,F256)</f>
        <v>2</v>
      </c>
      <c r="J256" s="2">
        <f>SUM(G256:I256)</f>
        <v>19</v>
      </c>
      <c r="K256" s="2">
        <f>SUMIFS($U$2:$U$10,$R$2:$R$10,E256)</f>
        <v>0.05</v>
      </c>
      <c r="L256" s="2">
        <f>SUMIFS($T$2:$T$10,$R$2:$R$10,F256)</f>
        <v>0.16</v>
      </c>
      <c r="M256" s="2">
        <f>SUMIFS($V$2:$V$10,$R$2:$R$10,D256)</f>
        <v>0.05</v>
      </c>
    </row>
    <row r="257" spans="1:13" x14ac:dyDescent="0.25">
      <c r="A257" s="2">
        <f>(A$2+A$2*K257+A$2*M257)*(1+L257)</f>
        <v>595.38080000000002</v>
      </c>
      <c r="B257" s="2">
        <f>(B$2+B$2*K257+B$2*M257)*(1+L257)</f>
        <v>692.5086</v>
      </c>
      <c r="C257" s="2">
        <f>(C$2+C$2*K257+C$2*M257)*(1+L257)</f>
        <v>727.82780000000002</v>
      </c>
      <c r="D257" s="2">
        <v>6</v>
      </c>
      <c r="E257" s="2">
        <v>0</v>
      </c>
      <c r="F257" s="2">
        <v>3</v>
      </c>
      <c r="G257" s="2">
        <f>SUMIFS($S$2:$S$10,$R$2:$R$10,D257)</f>
        <v>15</v>
      </c>
      <c r="H257" s="2">
        <f>SUMIFS($S$2:$S$10,$R$2:$R$10,E257)</f>
        <v>0</v>
      </c>
      <c r="I257" s="2">
        <f>SUMIFS($S$2:$S$10,$R$2:$R$10,F257)</f>
        <v>4</v>
      </c>
      <c r="J257" s="2">
        <f>SUM(G257:I257)</f>
        <v>19</v>
      </c>
      <c r="K257" s="2">
        <f>SUMIFS($U$2:$U$10,$R$2:$R$10,E257)</f>
        <v>0</v>
      </c>
      <c r="L257" s="2">
        <f>SUMIFS($T$2:$T$10,$R$2:$R$10,F257)</f>
        <v>0.19</v>
      </c>
      <c r="M257" s="2">
        <f>SUMIFS($V$2:$V$10,$R$2:$R$10,D257)</f>
        <v>0.06</v>
      </c>
    </row>
    <row r="258" spans="1:13" x14ac:dyDescent="0.25">
      <c r="A258" s="2">
        <f>(A$2+A$2*K258+A$2*M258)*(1+L258)</f>
        <v>591.32159999999999</v>
      </c>
      <c r="B258" s="2">
        <f>(B$2+B$2*K258+B$2*M258)*(1+L258)</f>
        <v>687.78719999999998</v>
      </c>
      <c r="C258" s="2">
        <f>(C$2+C$2*K258+C$2*M258)*(1+L258)</f>
        <v>722.86559999999986</v>
      </c>
      <c r="D258" s="2">
        <v>6</v>
      </c>
      <c r="E258" s="2">
        <v>2</v>
      </c>
      <c r="F258" s="2">
        <v>2</v>
      </c>
      <c r="G258" s="2">
        <f>SUMIFS($S$2:$S$10,$R$2:$R$10,D258)</f>
        <v>15</v>
      </c>
      <c r="H258" s="2">
        <f>SUMIFS($S$2:$S$10,$R$2:$R$10,E258)</f>
        <v>2</v>
      </c>
      <c r="I258" s="2">
        <f>SUMIFS($S$2:$S$10,$R$2:$R$10,F258)</f>
        <v>2</v>
      </c>
      <c r="J258" s="2">
        <f>SUM(G258:I258)</f>
        <v>19</v>
      </c>
      <c r="K258" s="2">
        <f>SUMIFS($U$2:$U$10,$R$2:$R$10,E258)</f>
        <v>0.02</v>
      </c>
      <c r="L258" s="2">
        <f>SUMIFS($T$2:$T$10,$R$2:$R$10,F258)</f>
        <v>0.16</v>
      </c>
      <c r="M258" s="2">
        <f>SUMIFS($V$2:$V$10,$R$2:$R$10,D258)</f>
        <v>0.06</v>
      </c>
    </row>
    <row r="259" spans="1:13" x14ac:dyDescent="0.25">
      <c r="A259" s="2">
        <f>(A$2+A$2*K259+A$2*M259)*(1+L259)</f>
        <v>514.48</v>
      </c>
      <c r="B259" s="2">
        <f>(B$2+B$2*K259+B$2*M259)*(1+L259)</f>
        <v>598.41000000000008</v>
      </c>
      <c r="C259" s="2">
        <f>(C$2+C$2*K259+C$2*M259)*(1+L259)</f>
        <v>628.92999999999995</v>
      </c>
      <c r="D259" s="2">
        <v>6</v>
      </c>
      <c r="E259" s="2">
        <v>3</v>
      </c>
      <c r="F259" s="2">
        <v>0</v>
      </c>
      <c r="G259" s="2">
        <f>SUMIFS($S$2:$S$10,$R$2:$R$10,D259)</f>
        <v>15</v>
      </c>
      <c r="H259" s="2">
        <f>SUMIFS($S$2:$S$10,$R$2:$R$10,E259)</f>
        <v>4</v>
      </c>
      <c r="I259" s="2">
        <f>SUMIFS($S$2:$S$10,$R$2:$R$10,F259)</f>
        <v>0</v>
      </c>
      <c r="J259" s="2">
        <f>SUM(G259:I259)</f>
        <v>19</v>
      </c>
      <c r="K259" s="2">
        <f>SUMIFS($U$2:$U$10,$R$2:$R$10,E259)</f>
        <v>0.03</v>
      </c>
      <c r="L259" s="2">
        <f>SUMIFS($T$2:$T$10,$R$2:$R$10,F259)</f>
        <v>0</v>
      </c>
      <c r="M259" s="2">
        <f>SUMIFS($V$2:$V$10,$R$2:$R$10,D259)</f>
        <v>0.06</v>
      </c>
    </row>
    <row r="260" spans="1:13" x14ac:dyDescent="0.25">
      <c r="A260" s="1">
        <f>(A$2+A$2*K260+A$2*L260)*(1+M260)</f>
        <v>629.41200000000003</v>
      </c>
      <c r="B260" s="1">
        <f>(B$2+B$2*K260+B$2*L260)*(1+M260)</f>
        <v>732.09150000000011</v>
      </c>
      <c r="C260" s="1">
        <f>(C$2+C$2*K260+C$2*L260)*(1+M260)</f>
        <v>769.42950000000008</v>
      </c>
      <c r="D260" s="1">
        <v>5</v>
      </c>
      <c r="E260" s="1">
        <v>0</v>
      </c>
      <c r="F260" s="1">
        <v>5</v>
      </c>
      <c r="G260" s="1">
        <f>SUMIFS($S$2:$S$10,$R$2:$R$10,D260)</f>
        <v>10</v>
      </c>
      <c r="H260" s="1">
        <f>SUMIFS($S$2:$S$10,$R$2:$R$10,E260)</f>
        <v>0</v>
      </c>
      <c r="I260" s="1">
        <f>SUMIFS($S$2:$S$10,$R$2:$R$10,F260)</f>
        <v>10</v>
      </c>
      <c r="J260" s="1">
        <f>SUM(G260:I260)</f>
        <v>20</v>
      </c>
      <c r="K260" s="1">
        <f>SUMIFS($U$2:$U$10,$R$2:$R$10,E260)</f>
        <v>0</v>
      </c>
      <c r="L260" s="1">
        <f>SUMIFS($V$2:$V$10,$R$2:$R$10,F260)</f>
        <v>0.05</v>
      </c>
      <c r="M260" s="1">
        <f>SUMIFS($T$2:$T$10,$R$2:$R$10,D260)</f>
        <v>0.27</v>
      </c>
    </row>
    <row r="261" spans="1:13" x14ac:dyDescent="0.25">
      <c r="A261" s="1">
        <f>(A$2+A$2*K261+A$2*L261)*(1+M261)</f>
        <v>641.4008</v>
      </c>
      <c r="B261" s="1">
        <f>(B$2+B$2*K261+B$2*L261)*(1+M261)</f>
        <v>746.03610000000015</v>
      </c>
      <c r="C261" s="1">
        <f>(C$2+C$2*K261+C$2*L261)*(1+M261)</f>
        <v>784.08529999999996</v>
      </c>
      <c r="D261" s="1">
        <v>5</v>
      </c>
      <c r="E261" s="1">
        <v>5</v>
      </c>
      <c r="F261" s="1">
        <v>0</v>
      </c>
      <c r="G261" s="1">
        <f>SUMIFS($S$2:$S$10,$R$2:$R$10,D261)</f>
        <v>10</v>
      </c>
      <c r="H261" s="1">
        <f>SUMIFS($S$2:$S$10,$R$2:$R$10,E261)</f>
        <v>10</v>
      </c>
      <c r="I261" s="1">
        <f>SUMIFS($S$2:$S$10,$R$2:$R$10,F261)</f>
        <v>0</v>
      </c>
      <c r="J261" s="1">
        <f>SUM(G261:I261)</f>
        <v>20</v>
      </c>
      <c r="K261" s="1">
        <f>SUMIFS($U$2:$U$10,$R$2:$R$10,E261)</f>
        <v>7.0000000000000007E-2</v>
      </c>
      <c r="L261" s="1">
        <f>SUMIFS($V$2:$V$10,$R$2:$R$10,F261)</f>
        <v>0</v>
      </c>
      <c r="M261" s="1">
        <f>SUMIFS($T$2:$T$10,$R$2:$R$10,D261)</f>
        <v>0.27</v>
      </c>
    </row>
    <row r="262" spans="1:13" x14ac:dyDescent="0.25">
      <c r="A262" s="1">
        <f>(A$2+A$2*K262+A$2*L262)*(1+M262)</f>
        <v>647.96160000000009</v>
      </c>
      <c r="B262" s="1">
        <f>(B$2+B$2*K262+B$2*L262)*(1+M262)</f>
        <v>753.66720000000009</v>
      </c>
      <c r="C262" s="1">
        <f>(C$2+C$2*K262+C$2*L262)*(1+M262)</f>
        <v>792.10559999999998</v>
      </c>
      <c r="D262" s="1">
        <v>6</v>
      </c>
      <c r="E262" s="1">
        <v>1</v>
      </c>
      <c r="F262" s="1">
        <v>3</v>
      </c>
      <c r="G262" s="1">
        <f>SUMIFS($S$2:$S$10,$R$2:$R$10,D262)</f>
        <v>15</v>
      </c>
      <c r="H262" s="1">
        <f>SUMIFS($S$2:$S$10,$R$2:$R$10,E262)</f>
        <v>1</v>
      </c>
      <c r="I262" s="1">
        <f>SUMIFS($S$2:$S$10,$R$2:$R$10,F262)</f>
        <v>4</v>
      </c>
      <c r="J262" s="1">
        <f>SUM(G262:I262)</f>
        <v>20</v>
      </c>
      <c r="K262" s="1">
        <f>SUMIFS($U$2:$U$10,$R$2:$R$10,E262)</f>
        <v>0.01</v>
      </c>
      <c r="L262" s="1">
        <f>SUMIFS($V$2:$V$10,$R$2:$R$10,F262)</f>
        <v>0.03</v>
      </c>
      <c r="M262" s="1">
        <f>SUMIFS($T$2:$T$10,$R$2:$R$10,D262)</f>
        <v>0.32</v>
      </c>
    </row>
    <row r="263" spans="1:13" x14ac:dyDescent="0.25">
      <c r="A263" s="1">
        <f>(A$2+A$2*K263+A$2*L263)*(1+M263)</f>
        <v>647.96160000000009</v>
      </c>
      <c r="B263" s="1">
        <f>(B$2+B$2*K263+B$2*L263)*(1+M263)</f>
        <v>753.66720000000009</v>
      </c>
      <c r="C263" s="1">
        <f>(C$2+C$2*K263+C$2*L263)*(1+M263)</f>
        <v>792.10559999999998</v>
      </c>
      <c r="D263" s="1">
        <v>6</v>
      </c>
      <c r="E263" s="1">
        <v>3</v>
      </c>
      <c r="F263" s="1">
        <v>1</v>
      </c>
      <c r="G263" s="1">
        <f>SUMIFS($S$2:$S$10,$R$2:$R$10,D263)</f>
        <v>15</v>
      </c>
      <c r="H263" s="1">
        <f>SUMIFS($S$2:$S$10,$R$2:$R$10,E263)</f>
        <v>4</v>
      </c>
      <c r="I263" s="1">
        <f>SUMIFS($S$2:$S$10,$R$2:$R$10,F263)</f>
        <v>1</v>
      </c>
      <c r="J263" s="1">
        <f>SUM(G263:I263)</f>
        <v>20</v>
      </c>
      <c r="K263" s="1">
        <f>SUMIFS($U$2:$U$10,$R$2:$R$10,E263)</f>
        <v>0.03</v>
      </c>
      <c r="L263" s="1">
        <f>SUMIFS($V$2:$V$10,$R$2:$R$10,F263)</f>
        <v>0.01</v>
      </c>
      <c r="M263" s="1">
        <f>SUMIFS($T$2:$T$10,$R$2:$R$10,D263)</f>
        <v>0.32</v>
      </c>
    </row>
    <row r="264" spans="1:13" x14ac:dyDescent="0.25">
      <c r="A264" s="1">
        <f>(A$2+A$2*K264+A$2*L264)*(1+M264)</f>
        <v>646.6400000000001</v>
      </c>
      <c r="B264" s="1">
        <f>(B$2+B$2*K264+B$2*L264)*(1+M264)</f>
        <v>752.13000000000011</v>
      </c>
      <c r="C264" s="1">
        <f>(C$2+C$2*K264+C$2*L264)*(1+M264)</f>
        <v>790.49</v>
      </c>
      <c r="D264" s="1">
        <v>7</v>
      </c>
      <c r="E264" s="1">
        <v>0</v>
      </c>
      <c r="F264" s="1">
        <v>0</v>
      </c>
      <c r="G264" s="1">
        <f>SUMIFS($S$2:$S$10,$R$2:$R$10,D264)</f>
        <v>20</v>
      </c>
      <c r="H264" s="1">
        <f>SUMIFS($S$2:$S$10,$R$2:$R$10,E264)</f>
        <v>0</v>
      </c>
      <c r="I264" s="1">
        <f>SUMIFS($S$2:$S$10,$R$2:$R$10,F264)</f>
        <v>0</v>
      </c>
      <c r="J264" s="1">
        <f>SUM(G264:I264)</f>
        <v>20</v>
      </c>
      <c r="K264" s="1">
        <f>SUMIFS($U$2:$U$10,$R$2:$R$10,E264)</f>
        <v>0</v>
      </c>
      <c r="L264" s="1">
        <f>SUMIFS($V$2:$V$10,$R$2:$R$10,F264)</f>
        <v>0</v>
      </c>
      <c r="M264" s="1">
        <f>SUMIFS($T$2:$T$10,$R$2:$R$10,D264)</f>
        <v>0.37</v>
      </c>
    </row>
    <row r="265" spans="1:13" x14ac:dyDescent="0.25">
      <c r="A265" s="3">
        <f>(A$2+A$2*M265+A$2*L265)*(1+K265)</f>
        <v>528.64</v>
      </c>
      <c r="B265" s="3">
        <f>(B$2+B$2*M265+B$2*L265)*(1+K265)</f>
        <v>614.88000000000011</v>
      </c>
      <c r="C265" s="3">
        <f>(C$2+C$2*M265+C$2*L265)*(1+K265)</f>
        <v>646.24</v>
      </c>
      <c r="D265" s="3">
        <v>5</v>
      </c>
      <c r="E265" s="3">
        <v>0</v>
      </c>
      <c r="F265" s="3">
        <v>5</v>
      </c>
      <c r="G265" s="3">
        <f>SUMIFS($S$2:$S$10,$R$2:$R$10,D265)</f>
        <v>10</v>
      </c>
      <c r="H265" s="3">
        <f>SUMIFS($S$2:$S$10,$R$2:$R$10,E265)</f>
        <v>0</v>
      </c>
      <c r="I265" s="3">
        <f>SUMIFS($S$2:$S$10,$R$2:$R$10,F265)</f>
        <v>10</v>
      </c>
      <c r="J265" s="3">
        <f>SUM(G265:I265)</f>
        <v>20</v>
      </c>
      <c r="K265" s="3">
        <f>SUMIFS($T$2:$T$10,$R$2:$R$10,E265)</f>
        <v>0</v>
      </c>
      <c r="L265" s="3">
        <f>SUMIFS($V$2:$V$10,$R$2:$R$10,F265)</f>
        <v>0.05</v>
      </c>
      <c r="M265" s="3">
        <f>SUMIFS($U$2:$U$10,$R$2:$R$10,D265)</f>
        <v>7.0000000000000007E-2</v>
      </c>
    </row>
    <row r="266" spans="1:13" x14ac:dyDescent="0.25">
      <c r="A266" s="3">
        <f>(A$2+A$2*M266+A$2*L266)*(1+K266)</f>
        <v>641.4008</v>
      </c>
      <c r="B266" s="3">
        <f>(B$2+B$2*M266+B$2*L266)*(1+K266)</f>
        <v>746.03610000000015</v>
      </c>
      <c r="C266" s="3">
        <f>(C$2+C$2*M266+C$2*L266)*(1+K266)</f>
        <v>784.08529999999996</v>
      </c>
      <c r="D266" s="3">
        <v>5</v>
      </c>
      <c r="E266" s="3">
        <v>5</v>
      </c>
      <c r="F266" s="3">
        <v>0</v>
      </c>
      <c r="G266" s="3">
        <f>SUMIFS($S$2:$S$10,$R$2:$R$10,D266)</f>
        <v>10</v>
      </c>
      <c r="H266" s="3">
        <f>SUMIFS($S$2:$S$10,$R$2:$R$10,E266)</f>
        <v>10</v>
      </c>
      <c r="I266" s="3">
        <f>SUMIFS($S$2:$S$10,$R$2:$R$10,F266)</f>
        <v>0</v>
      </c>
      <c r="J266" s="3">
        <f>SUM(G266:I266)</f>
        <v>20</v>
      </c>
      <c r="K266" s="3">
        <f>SUMIFS($T$2:$T$10,$R$2:$R$10,E266)</f>
        <v>0.27</v>
      </c>
      <c r="L266" s="3">
        <f>SUMIFS($V$2:$V$10,$R$2:$R$10,F266)</f>
        <v>0</v>
      </c>
      <c r="M266" s="3">
        <f>SUMIFS($U$2:$U$10,$R$2:$R$10,D266)</f>
        <v>7.0000000000000007E-2</v>
      </c>
    </row>
    <row r="267" spans="1:13" x14ac:dyDescent="0.25">
      <c r="A267" s="3">
        <f>(A$2+A$2*M267+A$2*L267)*(1+K267)</f>
        <v>597.36319999999989</v>
      </c>
      <c r="B267" s="3">
        <f>(B$2+B$2*M267+B$2*L267)*(1+K267)</f>
        <v>694.81439999999998</v>
      </c>
      <c r="C267" s="3">
        <f>(C$2+C$2*M267+C$2*L267)*(1+K267)</f>
        <v>730.25119999999981</v>
      </c>
      <c r="D267" s="3">
        <v>6</v>
      </c>
      <c r="E267" s="3">
        <v>1</v>
      </c>
      <c r="F267" s="3">
        <v>3</v>
      </c>
      <c r="G267" s="3">
        <f>SUMIFS($S$2:$S$10,$R$2:$R$10,D267)</f>
        <v>15</v>
      </c>
      <c r="H267" s="3">
        <f>SUMIFS($S$2:$S$10,$R$2:$R$10,E267)</f>
        <v>1</v>
      </c>
      <c r="I267" s="3">
        <f>SUMIFS($S$2:$S$10,$R$2:$R$10,F267)</f>
        <v>4</v>
      </c>
      <c r="J267" s="3">
        <f>SUM(G267:I267)</f>
        <v>20</v>
      </c>
      <c r="K267" s="3">
        <f>SUMIFS($T$2:$T$10,$R$2:$R$10,E267)</f>
        <v>0.13</v>
      </c>
      <c r="L267" s="3">
        <f>SUMIFS($V$2:$V$10,$R$2:$R$10,F267)</f>
        <v>0.03</v>
      </c>
      <c r="M267" s="3">
        <f>SUMIFS($U$2:$U$10,$R$2:$R$10,D267)</f>
        <v>0.09</v>
      </c>
    </row>
    <row r="268" spans="1:13" x14ac:dyDescent="0.25">
      <c r="A268" s="3">
        <f>(A$2+A$2*M268+A$2*L268)*(1+K268)</f>
        <v>617.84800000000007</v>
      </c>
      <c r="B268" s="3">
        <f>(B$2+B$2*M268+B$2*L268)*(1+K268)</f>
        <v>718.64099999999996</v>
      </c>
      <c r="C268" s="3">
        <f>(C$2+C$2*M268+C$2*L268)*(1+K268)</f>
        <v>755.29299999999989</v>
      </c>
      <c r="D268" s="3">
        <v>6</v>
      </c>
      <c r="E268" s="3">
        <v>3</v>
      </c>
      <c r="F268" s="3">
        <v>1</v>
      </c>
      <c r="G268" s="3">
        <f>SUMIFS($S$2:$S$10,$R$2:$R$10,D268)</f>
        <v>15</v>
      </c>
      <c r="H268" s="3">
        <f>SUMIFS($S$2:$S$10,$R$2:$R$10,E268)</f>
        <v>4</v>
      </c>
      <c r="I268" s="3">
        <f>SUMIFS($S$2:$S$10,$R$2:$R$10,F268)</f>
        <v>1</v>
      </c>
      <c r="J268" s="3">
        <f>SUM(G268:I268)</f>
        <v>20</v>
      </c>
      <c r="K268" s="3">
        <f>SUMIFS($T$2:$T$10,$R$2:$R$10,E268)</f>
        <v>0.19</v>
      </c>
      <c r="L268" s="3">
        <f>SUMIFS($V$2:$V$10,$R$2:$R$10,F268)</f>
        <v>0.01</v>
      </c>
      <c r="M268" s="3">
        <f>SUMIFS($U$2:$U$10,$R$2:$R$10,D268)</f>
        <v>0.09</v>
      </c>
    </row>
    <row r="269" spans="1:13" x14ac:dyDescent="0.25">
      <c r="A269" s="3">
        <f>(A$2+A$2*M269+A$2*L269)*(1+K269)</f>
        <v>523.91999999999996</v>
      </c>
      <c r="B269" s="3">
        <f>(B$2+B$2*M269+B$2*L269)*(1+K269)</f>
        <v>609.39</v>
      </c>
      <c r="C269" s="3">
        <f>(C$2+C$2*M269+C$2*L269)*(1+K269)</f>
        <v>640.47</v>
      </c>
      <c r="D269" s="3">
        <v>7</v>
      </c>
      <c r="E269" s="3">
        <v>0</v>
      </c>
      <c r="F269" s="3">
        <v>0</v>
      </c>
      <c r="G269" s="3">
        <f>SUMIFS($S$2:$S$10,$R$2:$R$10,D269)</f>
        <v>20</v>
      </c>
      <c r="H269" s="3">
        <f>SUMIFS($S$2:$S$10,$R$2:$R$10,E269)</f>
        <v>0</v>
      </c>
      <c r="I269" s="3">
        <f>SUMIFS($S$2:$S$10,$R$2:$R$10,F269)</f>
        <v>0</v>
      </c>
      <c r="J269" s="3">
        <f>SUM(G269:I269)</f>
        <v>20</v>
      </c>
      <c r="K269" s="3">
        <f>SUMIFS($T$2:$T$10,$R$2:$R$10,E269)</f>
        <v>0</v>
      </c>
      <c r="L269" s="3">
        <f>SUMIFS($V$2:$V$10,$R$2:$R$10,F269)</f>
        <v>0</v>
      </c>
      <c r="M269" s="3">
        <f>SUMIFS($U$2:$U$10,$R$2:$R$10,D269)</f>
        <v>0.11</v>
      </c>
    </row>
    <row r="270" spans="1:13" x14ac:dyDescent="0.25">
      <c r="A270" s="2">
        <f>(A$2+A$2*K270+A$2*M270)*(1+L270)</f>
        <v>629.41200000000003</v>
      </c>
      <c r="B270" s="2">
        <f>(B$2+B$2*K270+B$2*M270)*(1+L270)</f>
        <v>732.09150000000011</v>
      </c>
      <c r="C270" s="2">
        <f>(C$2+C$2*K270+C$2*M270)*(1+L270)</f>
        <v>769.42950000000008</v>
      </c>
      <c r="D270" s="2">
        <v>5</v>
      </c>
      <c r="E270" s="2">
        <v>0</v>
      </c>
      <c r="F270" s="2">
        <v>5</v>
      </c>
      <c r="G270" s="2">
        <f>SUMIFS($S$2:$S$10,$R$2:$R$10,D270)</f>
        <v>10</v>
      </c>
      <c r="H270" s="2">
        <f>SUMIFS($S$2:$S$10,$R$2:$R$10,E270)</f>
        <v>0</v>
      </c>
      <c r="I270" s="2">
        <f>SUMIFS($S$2:$S$10,$R$2:$R$10,F270)</f>
        <v>10</v>
      </c>
      <c r="J270" s="2">
        <f>SUM(G270:I270)</f>
        <v>20</v>
      </c>
      <c r="K270" s="2">
        <f>SUMIFS($U$2:$U$10,$R$2:$R$10,E270)</f>
        <v>0</v>
      </c>
      <c r="L270" s="2">
        <f>SUMIFS($T$2:$T$10,$R$2:$R$10,F270)</f>
        <v>0.27</v>
      </c>
      <c r="M270" s="2">
        <f>SUMIFS($V$2:$V$10,$R$2:$R$10,D270)</f>
        <v>0.05</v>
      </c>
    </row>
    <row r="271" spans="1:13" x14ac:dyDescent="0.25">
      <c r="A271" s="2">
        <f>(A$2+A$2*K271+A$2*M271)*(1+L271)</f>
        <v>528.64</v>
      </c>
      <c r="B271" s="2">
        <f>(B$2+B$2*K271+B$2*M271)*(1+L271)</f>
        <v>614.88000000000011</v>
      </c>
      <c r="C271" s="2">
        <f>(C$2+C$2*K271+C$2*M271)*(1+L271)</f>
        <v>646.24</v>
      </c>
      <c r="D271" s="2">
        <v>5</v>
      </c>
      <c r="E271" s="2">
        <v>5</v>
      </c>
      <c r="F271" s="2">
        <v>0</v>
      </c>
      <c r="G271" s="2">
        <f>SUMIFS($S$2:$S$10,$R$2:$R$10,D271)</f>
        <v>10</v>
      </c>
      <c r="H271" s="2">
        <f>SUMIFS($S$2:$S$10,$R$2:$R$10,E271)</f>
        <v>10</v>
      </c>
      <c r="I271" s="2">
        <f>SUMIFS($S$2:$S$10,$R$2:$R$10,F271)</f>
        <v>0</v>
      </c>
      <c r="J271" s="2">
        <f>SUM(G271:I271)</f>
        <v>20</v>
      </c>
      <c r="K271" s="2">
        <f>SUMIFS($U$2:$U$10,$R$2:$R$10,E271)</f>
        <v>7.0000000000000007E-2</v>
      </c>
      <c r="L271" s="2">
        <f>SUMIFS($T$2:$T$10,$R$2:$R$10,F271)</f>
        <v>0</v>
      </c>
      <c r="M271" s="2">
        <f>SUMIFS($V$2:$V$10,$R$2:$R$10,D271)</f>
        <v>0.05</v>
      </c>
    </row>
    <row r="272" spans="1:13" x14ac:dyDescent="0.25">
      <c r="A272" s="2">
        <f>(A$2+A$2*K272+A$2*M272)*(1+L272)</f>
        <v>600.99760000000003</v>
      </c>
      <c r="B272" s="2">
        <f>(B$2+B$2*K272+B$2*M272)*(1+L272)</f>
        <v>699.04169999999999</v>
      </c>
      <c r="C272" s="2">
        <f>(C$2+C$2*K272+C$2*M272)*(1+L272)</f>
        <v>734.69409999999993</v>
      </c>
      <c r="D272" s="2">
        <v>6</v>
      </c>
      <c r="E272" s="2">
        <v>1</v>
      </c>
      <c r="F272" s="2">
        <v>3</v>
      </c>
      <c r="G272" s="2">
        <f>SUMIFS($S$2:$S$10,$R$2:$R$10,D272)</f>
        <v>15</v>
      </c>
      <c r="H272" s="2">
        <f>SUMIFS($S$2:$S$10,$R$2:$R$10,E272)</f>
        <v>1</v>
      </c>
      <c r="I272" s="2">
        <f>SUMIFS($S$2:$S$10,$R$2:$R$10,F272)</f>
        <v>4</v>
      </c>
      <c r="J272" s="2">
        <f>SUM(G272:I272)</f>
        <v>20</v>
      </c>
      <c r="K272" s="2">
        <f>SUMIFS($U$2:$U$10,$R$2:$R$10,E272)</f>
        <v>0.01</v>
      </c>
      <c r="L272" s="2">
        <f>SUMIFS($T$2:$T$10,$R$2:$R$10,F272)</f>
        <v>0.19</v>
      </c>
      <c r="M272" s="2">
        <f>SUMIFS($V$2:$V$10,$R$2:$R$10,D272)</f>
        <v>0.06</v>
      </c>
    </row>
    <row r="273" spans="1:13" x14ac:dyDescent="0.25">
      <c r="A273" s="2">
        <f>(A$2+A$2*K273+A$2*M273)*(1+L273)</f>
        <v>581.36239999999998</v>
      </c>
      <c r="B273" s="2">
        <f>(B$2+B$2*K273+B$2*M273)*(1+L273)</f>
        <v>676.20330000000001</v>
      </c>
      <c r="C273" s="2">
        <f>(C$2+C$2*K273+C$2*M273)*(1+L273)</f>
        <v>710.69089999999983</v>
      </c>
      <c r="D273" s="2">
        <v>6</v>
      </c>
      <c r="E273" s="2">
        <v>3</v>
      </c>
      <c r="F273" s="2">
        <v>1</v>
      </c>
      <c r="G273" s="2">
        <f>SUMIFS($S$2:$S$10,$R$2:$R$10,D273)</f>
        <v>15</v>
      </c>
      <c r="H273" s="2">
        <f>SUMIFS($S$2:$S$10,$R$2:$R$10,E273)</f>
        <v>4</v>
      </c>
      <c r="I273" s="2">
        <f>SUMIFS($S$2:$S$10,$R$2:$R$10,F273)</f>
        <v>1</v>
      </c>
      <c r="J273" s="2">
        <f>SUM(G273:I273)</f>
        <v>20</v>
      </c>
      <c r="K273" s="2">
        <f>SUMIFS($U$2:$U$10,$R$2:$R$10,E273)</f>
        <v>0.03</v>
      </c>
      <c r="L273" s="2">
        <f>SUMIFS($T$2:$T$10,$R$2:$R$10,F273)</f>
        <v>0.13</v>
      </c>
      <c r="M273" s="2">
        <f>SUMIFS($V$2:$V$10,$R$2:$R$10,D273)</f>
        <v>0.06</v>
      </c>
    </row>
    <row r="274" spans="1:13" x14ac:dyDescent="0.25">
      <c r="A274" s="2">
        <f>(A$2+A$2*K274+A$2*M274)*(1+L274)</f>
        <v>505.04</v>
      </c>
      <c r="B274" s="2">
        <f>(B$2+B$2*K274+B$2*M274)*(1+L274)</f>
        <v>587.43000000000006</v>
      </c>
      <c r="C274" s="2">
        <f>(C$2+C$2*K274+C$2*M274)*(1+L274)</f>
        <v>617.39</v>
      </c>
      <c r="D274" s="2">
        <v>7</v>
      </c>
      <c r="E274" s="2">
        <v>0</v>
      </c>
      <c r="F274" s="2">
        <v>0</v>
      </c>
      <c r="G274" s="2">
        <f>SUMIFS($S$2:$S$10,$R$2:$R$10,D274)</f>
        <v>20</v>
      </c>
      <c r="H274" s="2">
        <f>SUMIFS($S$2:$S$10,$R$2:$R$10,E274)</f>
        <v>0</v>
      </c>
      <c r="I274" s="2">
        <f>SUMIFS($S$2:$S$10,$R$2:$R$10,F274)</f>
        <v>0</v>
      </c>
      <c r="J274" s="2">
        <f>SUM(G274:I274)</f>
        <v>20</v>
      </c>
      <c r="K274" s="2">
        <f>SUMIFS($U$2:$U$10,$R$2:$R$10,E274)</f>
        <v>0</v>
      </c>
      <c r="L274" s="2">
        <f>SUMIFS($T$2:$T$10,$R$2:$R$10,F274)</f>
        <v>0</v>
      </c>
      <c r="M274" s="2">
        <f>SUMIFS($V$2:$V$10,$R$2:$R$10,D274)</f>
        <v>7.0000000000000007E-2</v>
      </c>
    </row>
    <row r="275" spans="1:13" x14ac:dyDescent="0.25">
      <c r="A275" s="1">
        <f>(A$2+A$2*K275+A$2*L275)*(1+M275)</f>
        <v>627.66560000000004</v>
      </c>
      <c r="B275" s="1">
        <f>(B$2+B$2*K275+B$2*L275)*(1+M275)</f>
        <v>730.06020000000012</v>
      </c>
      <c r="C275" s="1">
        <f>(C$2+C$2*K275+C$2*L275)*(1+M275)</f>
        <v>767.29460000000006</v>
      </c>
      <c r="D275" s="1">
        <v>4</v>
      </c>
      <c r="E275" s="1">
        <v>4</v>
      </c>
      <c r="F275" s="1">
        <v>4</v>
      </c>
      <c r="G275" s="1">
        <f>SUMIFS($S$2:$S$10,$R$2:$R$10,D275)</f>
        <v>7</v>
      </c>
      <c r="H275" s="1">
        <f>SUMIFS($S$2:$S$10,$R$2:$R$10,E275)</f>
        <v>7</v>
      </c>
      <c r="I275" s="1">
        <f>SUMIFS($S$2:$S$10,$R$2:$R$10,F275)</f>
        <v>7</v>
      </c>
      <c r="J275" s="1">
        <f>SUM(G275:I275)</f>
        <v>21</v>
      </c>
      <c r="K275" s="1">
        <f>SUMIFS($U$2:$U$10,$R$2:$R$10,E275)</f>
        <v>0.05</v>
      </c>
      <c r="L275" s="1">
        <f>SUMIFS($V$2:$V$10,$R$2:$R$10,F275)</f>
        <v>0.04</v>
      </c>
      <c r="M275" s="1">
        <f>SUMIFS($T$2:$T$10,$R$2:$R$10,D275)</f>
        <v>0.22</v>
      </c>
    </row>
    <row r="276" spans="1:13" x14ac:dyDescent="0.25">
      <c r="A276" s="1">
        <f>(A$2+A$2*K276+A$2*L276)*(1+M276)</f>
        <v>635.40640000000008</v>
      </c>
      <c r="B276" s="1">
        <f>(B$2+B$2*K276+B$2*L276)*(1+M276)</f>
        <v>739.06380000000013</v>
      </c>
      <c r="C276" s="1">
        <f>(C$2+C$2*K276+C$2*L276)*(1+M276)</f>
        <v>776.75739999999996</v>
      </c>
      <c r="D276" s="1">
        <v>5</v>
      </c>
      <c r="E276" s="1">
        <v>1</v>
      </c>
      <c r="F276" s="1">
        <v>5</v>
      </c>
      <c r="G276" s="1">
        <f>SUMIFS($S$2:$S$10,$R$2:$R$10,D276)</f>
        <v>10</v>
      </c>
      <c r="H276" s="1">
        <f>SUMIFS($S$2:$S$10,$R$2:$R$10,E276)</f>
        <v>1</v>
      </c>
      <c r="I276" s="1">
        <f>SUMIFS($S$2:$S$10,$R$2:$R$10,F276)</f>
        <v>10</v>
      </c>
      <c r="J276" s="1">
        <f>SUM(G276:I276)</f>
        <v>21</v>
      </c>
      <c r="K276" s="1">
        <f>SUMIFS($U$2:$U$10,$R$2:$R$10,E276)</f>
        <v>0.01</v>
      </c>
      <c r="L276" s="1">
        <f>SUMIFS($V$2:$V$10,$R$2:$R$10,F276)</f>
        <v>0.05</v>
      </c>
      <c r="M276" s="1">
        <f>SUMIFS($T$2:$T$10,$R$2:$R$10,D276)</f>
        <v>0.27</v>
      </c>
    </row>
    <row r="277" spans="1:13" x14ac:dyDescent="0.25">
      <c r="A277" s="1">
        <f>(A$2+A$2*K277+A$2*L277)*(1+M277)</f>
        <v>641.4008</v>
      </c>
      <c r="B277" s="1">
        <f>(B$2+B$2*K277+B$2*L277)*(1+M277)</f>
        <v>746.03610000000015</v>
      </c>
      <c r="C277" s="1">
        <f>(C$2+C$2*K277+C$2*L277)*(1+M277)</f>
        <v>784.08529999999996</v>
      </c>
      <c r="D277" s="1">
        <v>5</v>
      </c>
      <c r="E277" s="1">
        <v>3</v>
      </c>
      <c r="F277" s="1">
        <v>4</v>
      </c>
      <c r="G277" s="1">
        <f>SUMIFS($S$2:$S$10,$R$2:$R$10,D277)</f>
        <v>10</v>
      </c>
      <c r="H277" s="1">
        <f>SUMIFS($S$2:$S$10,$R$2:$R$10,E277)</f>
        <v>4</v>
      </c>
      <c r="I277" s="1">
        <f>SUMIFS($S$2:$S$10,$R$2:$R$10,F277)</f>
        <v>7</v>
      </c>
      <c r="J277" s="1">
        <f>SUM(G277:I277)</f>
        <v>21</v>
      </c>
      <c r="K277" s="1">
        <f>SUMIFS($U$2:$U$10,$R$2:$R$10,E277)</f>
        <v>0.03</v>
      </c>
      <c r="L277" s="1">
        <f>SUMIFS($V$2:$V$10,$R$2:$R$10,F277)</f>
        <v>0.04</v>
      </c>
      <c r="M277" s="1">
        <f>SUMIFS($T$2:$T$10,$R$2:$R$10,D277)</f>
        <v>0.27</v>
      </c>
    </row>
    <row r="278" spans="1:13" x14ac:dyDescent="0.25">
      <c r="A278" s="1">
        <f>(A$2+A$2*K278+A$2*L278)*(1+M278)</f>
        <v>647.39520000000005</v>
      </c>
      <c r="B278" s="1">
        <f>(B$2+B$2*K278+B$2*L278)*(1+M278)</f>
        <v>753.00840000000005</v>
      </c>
      <c r="C278" s="1">
        <f>(C$2+C$2*K278+C$2*L278)*(1+M278)</f>
        <v>791.41319999999996</v>
      </c>
      <c r="D278" s="1">
        <v>5</v>
      </c>
      <c r="E278" s="1">
        <v>4</v>
      </c>
      <c r="F278" s="1">
        <v>3</v>
      </c>
      <c r="G278" s="1">
        <f>SUMIFS($S$2:$S$10,$R$2:$R$10,D278)</f>
        <v>10</v>
      </c>
      <c r="H278" s="1">
        <f>SUMIFS($S$2:$S$10,$R$2:$R$10,E278)</f>
        <v>7</v>
      </c>
      <c r="I278" s="1">
        <f>SUMIFS($S$2:$S$10,$R$2:$R$10,F278)</f>
        <v>4</v>
      </c>
      <c r="J278" s="1">
        <f>SUM(G278:I278)</f>
        <v>21</v>
      </c>
      <c r="K278" s="1">
        <f>SUMIFS($U$2:$U$10,$R$2:$R$10,E278)</f>
        <v>0.05</v>
      </c>
      <c r="L278" s="1">
        <f>SUMIFS($V$2:$V$10,$R$2:$R$10,F278)</f>
        <v>0.03</v>
      </c>
      <c r="M278" s="1">
        <f>SUMIFS($T$2:$T$10,$R$2:$R$10,D278)</f>
        <v>0.27</v>
      </c>
    </row>
    <row r="279" spans="1:13" x14ac:dyDescent="0.25">
      <c r="A279" s="1">
        <f>(A$2+A$2*K279+A$2*L279)*(1+M279)</f>
        <v>647.39520000000005</v>
      </c>
      <c r="B279" s="1">
        <f>(B$2+B$2*K279+B$2*L279)*(1+M279)</f>
        <v>753.00840000000005</v>
      </c>
      <c r="C279" s="1">
        <f>(C$2+C$2*K279+C$2*L279)*(1+M279)</f>
        <v>791.41319999999996</v>
      </c>
      <c r="D279" s="1">
        <v>5</v>
      </c>
      <c r="E279" s="1">
        <v>5</v>
      </c>
      <c r="F279" s="1">
        <v>1</v>
      </c>
      <c r="G279" s="1">
        <f>SUMIFS($S$2:$S$10,$R$2:$R$10,D279)</f>
        <v>10</v>
      </c>
      <c r="H279" s="1">
        <f>SUMIFS($S$2:$S$10,$R$2:$R$10,E279)</f>
        <v>10</v>
      </c>
      <c r="I279" s="1">
        <f>SUMIFS($S$2:$S$10,$R$2:$R$10,F279)</f>
        <v>1</v>
      </c>
      <c r="J279" s="1">
        <f>SUM(G279:I279)</f>
        <v>21</v>
      </c>
      <c r="K279" s="1">
        <f>SUMIFS($U$2:$U$10,$R$2:$R$10,E279)</f>
        <v>7.0000000000000007E-2</v>
      </c>
      <c r="L279" s="1">
        <f>SUMIFS($V$2:$V$10,$R$2:$R$10,F279)</f>
        <v>0.01</v>
      </c>
      <c r="M279" s="1">
        <f>SUMIFS($T$2:$T$10,$R$2:$R$10,D279)</f>
        <v>0.27</v>
      </c>
    </row>
    <row r="280" spans="1:13" x14ac:dyDescent="0.25">
      <c r="A280" s="1">
        <f>(A$2+A$2*K280+A$2*L280)*(1+M280)</f>
        <v>654.19200000000001</v>
      </c>
      <c r="B280" s="1">
        <f>(B$2+B$2*K280+B$2*L280)*(1+M280)</f>
        <v>760.9140000000001</v>
      </c>
      <c r="C280" s="1">
        <f>(C$2+C$2*K280+C$2*L280)*(1+M280)</f>
        <v>799.72199999999987</v>
      </c>
      <c r="D280" s="1">
        <v>6</v>
      </c>
      <c r="E280" s="1">
        <v>2</v>
      </c>
      <c r="F280" s="1">
        <v>3</v>
      </c>
      <c r="G280" s="1">
        <f>SUMIFS($S$2:$S$10,$R$2:$R$10,D280)</f>
        <v>15</v>
      </c>
      <c r="H280" s="1">
        <f>SUMIFS($S$2:$S$10,$R$2:$R$10,E280)</f>
        <v>2</v>
      </c>
      <c r="I280" s="1">
        <f>SUMIFS($S$2:$S$10,$R$2:$R$10,F280)</f>
        <v>4</v>
      </c>
      <c r="J280" s="1">
        <f>SUM(G280:I280)</f>
        <v>21</v>
      </c>
      <c r="K280" s="1">
        <f>SUMIFS($U$2:$U$10,$R$2:$R$10,E280)</f>
        <v>0.02</v>
      </c>
      <c r="L280" s="1">
        <f>SUMIFS($V$2:$V$10,$R$2:$R$10,F280)</f>
        <v>0.03</v>
      </c>
      <c r="M280" s="1">
        <f>SUMIFS($T$2:$T$10,$R$2:$R$10,D280)</f>
        <v>0.32</v>
      </c>
    </row>
    <row r="281" spans="1:13" x14ac:dyDescent="0.25">
      <c r="A281" s="1">
        <f>(A$2+A$2*K281+A$2*L281)*(1+M281)</f>
        <v>654.19200000000001</v>
      </c>
      <c r="B281" s="1">
        <f>(B$2+B$2*K281+B$2*L281)*(1+M281)</f>
        <v>760.9140000000001</v>
      </c>
      <c r="C281" s="1">
        <f>(C$2+C$2*K281+C$2*L281)*(1+M281)</f>
        <v>799.72199999999987</v>
      </c>
      <c r="D281" s="1">
        <v>6</v>
      </c>
      <c r="E281" s="1">
        <v>3</v>
      </c>
      <c r="F281" s="1">
        <v>2</v>
      </c>
      <c r="G281" s="1">
        <f>SUMIFS($S$2:$S$10,$R$2:$R$10,D281)</f>
        <v>15</v>
      </c>
      <c r="H281" s="1">
        <f>SUMIFS($S$2:$S$10,$R$2:$R$10,E281)</f>
        <v>4</v>
      </c>
      <c r="I281" s="1">
        <f>SUMIFS($S$2:$S$10,$R$2:$R$10,F281)</f>
        <v>2</v>
      </c>
      <c r="J281" s="1">
        <f>SUM(G281:I281)</f>
        <v>21</v>
      </c>
      <c r="K281" s="1">
        <f>SUMIFS($U$2:$U$10,$R$2:$R$10,E281)</f>
        <v>0.03</v>
      </c>
      <c r="L281" s="1">
        <f>SUMIFS($V$2:$V$10,$R$2:$R$10,F281)</f>
        <v>0.02</v>
      </c>
      <c r="M281" s="1">
        <f>SUMIFS($T$2:$T$10,$R$2:$R$10,D281)</f>
        <v>0.32</v>
      </c>
    </row>
    <row r="282" spans="1:13" x14ac:dyDescent="0.25">
      <c r="A282" s="1">
        <f>(A$2+A$2*K282+A$2*L282)*(1+M282)</f>
        <v>653.10640000000012</v>
      </c>
      <c r="B282" s="1">
        <f>(B$2+B$2*K282+B$2*L282)*(1+M282)</f>
        <v>759.65130000000011</v>
      </c>
      <c r="C282" s="1">
        <f>(C$2+C$2*K282+C$2*L282)*(1+M282)</f>
        <v>798.39490000000001</v>
      </c>
      <c r="D282" s="1">
        <v>7</v>
      </c>
      <c r="E282" s="1">
        <v>0</v>
      </c>
      <c r="F282" s="1">
        <v>1</v>
      </c>
      <c r="G282" s="1">
        <f>SUMIFS($S$2:$S$10,$R$2:$R$10,D282)</f>
        <v>20</v>
      </c>
      <c r="H282" s="1">
        <f>SUMIFS($S$2:$S$10,$R$2:$R$10,E282)</f>
        <v>0</v>
      </c>
      <c r="I282" s="1">
        <f>SUMIFS($S$2:$S$10,$R$2:$R$10,F282)</f>
        <v>1</v>
      </c>
      <c r="J282" s="1">
        <f>SUM(G282:I282)</f>
        <v>21</v>
      </c>
      <c r="K282" s="1">
        <f>SUMIFS($U$2:$U$10,$R$2:$R$10,E282)</f>
        <v>0</v>
      </c>
      <c r="L282" s="1">
        <f>SUMIFS($V$2:$V$10,$R$2:$R$10,F282)</f>
        <v>0.01</v>
      </c>
      <c r="M282" s="1">
        <f>SUMIFS($T$2:$T$10,$R$2:$R$10,D282)</f>
        <v>0.37</v>
      </c>
    </row>
    <row r="283" spans="1:13" x14ac:dyDescent="0.25">
      <c r="A283" s="1">
        <f>(A$2+A$2*K283+A$2*L283)*(1+M283)</f>
        <v>653.10640000000012</v>
      </c>
      <c r="B283" s="1">
        <f>(B$2+B$2*K283+B$2*L283)*(1+M283)</f>
        <v>759.65130000000011</v>
      </c>
      <c r="C283" s="1">
        <f>(C$2+C$2*K283+C$2*L283)*(1+M283)</f>
        <v>798.39490000000001</v>
      </c>
      <c r="D283" s="1">
        <v>7</v>
      </c>
      <c r="E283" s="1">
        <v>1</v>
      </c>
      <c r="F283" s="1">
        <v>0</v>
      </c>
      <c r="G283" s="1">
        <f>SUMIFS($S$2:$S$10,$R$2:$R$10,D283)</f>
        <v>20</v>
      </c>
      <c r="H283" s="1">
        <f>SUMIFS($S$2:$S$10,$R$2:$R$10,E283)</f>
        <v>1</v>
      </c>
      <c r="I283" s="1">
        <f>SUMIFS($S$2:$S$10,$R$2:$R$10,F283)</f>
        <v>0</v>
      </c>
      <c r="J283" s="1">
        <f>SUM(G283:I283)</f>
        <v>21</v>
      </c>
      <c r="K283" s="1">
        <f>SUMIFS($U$2:$U$10,$R$2:$R$10,E283)</f>
        <v>0.01</v>
      </c>
      <c r="L283" s="1">
        <f>SUMIFS($V$2:$V$10,$R$2:$R$10,F283)</f>
        <v>0</v>
      </c>
      <c r="M283" s="1">
        <f>SUMIFS($T$2:$T$10,$R$2:$R$10,D283)</f>
        <v>0.37</v>
      </c>
    </row>
    <row r="284" spans="1:13" x14ac:dyDescent="0.25">
      <c r="A284" s="3">
        <f>(A$2+A$2*M284+A$2*L284)*(1+K284)</f>
        <v>627.66560000000004</v>
      </c>
      <c r="B284" s="3">
        <f>(B$2+B$2*M284+B$2*L284)*(1+K284)</f>
        <v>730.06020000000012</v>
      </c>
      <c r="C284" s="3">
        <f>(C$2+C$2*M284+C$2*L284)*(1+K284)</f>
        <v>767.29460000000006</v>
      </c>
      <c r="D284" s="3">
        <v>4</v>
      </c>
      <c r="E284" s="3">
        <v>4</v>
      </c>
      <c r="F284" s="3">
        <v>4</v>
      </c>
      <c r="G284" s="3">
        <f>SUMIFS($S$2:$S$10,$R$2:$R$10,D284)</f>
        <v>7</v>
      </c>
      <c r="H284" s="3">
        <f>SUMIFS($S$2:$S$10,$R$2:$R$10,E284)</f>
        <v>7</v>
      </c>
      <c r="I284" s="3">
        <f>SUMIFS($S$2:$S$10,$R$2:$R$10,F284)</f>
        <v>7</v>
      </c>
      <c r="J284" s="3">
        <f>SUM(G284:I284)</f>
        <v>21</v>
      </c>
      <c r="K284" s="3">
        <f>SUMIFS($T$2:$T$10,$R$2:$R$10,E284)</f>
        <v>0.22</v>
      </c>
      <c r="L284" s="3">
        <f>SUMIFS($V$2:$V$10,$R$2:$R$10,F284)</f>
        <v>0.04</v>
      </c>
      <c r="M284" s="3">
        <f>SUMIFS($U$2:$U$10,$R$2:$R$10,D284)</f>
        <v>0.05</v>
      </c>
    </row>
    <row r="285" spans="1:13" x14ac:dyDescent="0.25">
      <c r="A285" s="3">
        <f>(A$2+A$2*M285+A$2*L285)*(1+K285)</f>
        <v>597.36319999999989</v>
      </c>
      <c r="B285" s="3">
        <f>(B$2+B$2*M285+B$2*L285)*(1+K285)</f>
        <v>694.81440000000009</v>
      </c>
      <c r="C285" s="3">
        <f>(C$2+C$2*M285+C$2*L285)*(1+K285)</f>
        <v>730.25119999999993</v>
      </c>
      <c r="D285" s="3">
        <v>5</v>
      </c>
      <c r="E285" s="3">
        <v>1</v>
      </c>
      <c r="F285" s="3">
        <v>5</v>
      </c>
      <c r="G285" s="3">
        <f>SUMIFS($S$2:$S$10,$R$2:$R$10,D285)</f>
        <v>10</v>
      </c>
      <c r="H285" s="3">
        <f>SUMIFS($S$2:$S$10,$R$2:$R$10,E285)</f>
        <v>1</v>
      </c>
      <c r="I285" s="3">
        <f>SUMIFS($S$2:$S$10,$R$2:$R$10,F285)</f>
        <v>10</v>
      </c>
      <c r="J285" s="3">
        <f>SUM(G285:I285)</f>
        <v>21</v>
      </c>
      <c r="K285" s="3">
        <f>SUMIFS($T$2:$T$10,$R$2:$R$10,E285)</f>
        <v>0.13</v>
      </c>
      <c r="L285" s="3">
        <f>SUMIFS($V$2:$V$10,$R$2:$R$10,F285)</f>
        <v>0.05</v>
      </c>
      <c r="M285" s="3">
        <f>SUMIFS($U$2:$U$10,$R$2:$R$10,D285)</f>
        <v>7.0000000000000007E-2</v>
      </c>
    </row>
    <row r="286" spans="1:13" x14ac:dyDescent="0.25">
      <c r="A286" s="3">
        <f>(A$2+A$2*M286+A$2*L286)*(1+K286)</f>
        <v>623.46480000000008</v>
      </c>
      <c r="B286" s="3">
        <f>(B$2+B$2*M286+B$2*L286)*(1+K286)</f>
        <v>725.17410000000007</v>
      </c>
      <c r="C286" s="3">
        <f>(C$2+C$2*M286+C$2*L286)*(1+K286)</f>
        <v>762.15930000000003</v>
      </c>
      <c r="D286" s="3">
        <v>5</v>
      </c>
      <c r="E286" s="3">
        <v>3</v>
      </c>
      <c r="F286" s="3">
        <v>4</v>
      </c>
      <c r="G286" s="3">
        <f>SUMIFS($S$2:$S$10,$R$2:$R$10,D286)</f>
        <v>10</v>
      </c>
      <c r="H286" s="3">
        <f>SUMIFS($S$2:$S$10,$R$2:$R$10,E286)</f>
        <v>4</v>
      </c>
      <c r="I286" s="3">
        <f>SUMIFS($S$2:$S$10,$R$2:$R$10,F286)</f>
        <v>7</v>
      </c>
      <c r="J286" s="3">
        <f>SUM(G286:I286)</f>
        <v>21</v>
      </c>
      <c r="K286" s="3">
        <f>SUMIFS($T$2:$T$10,$R$2:$R$10,E286)</f>
        <v>0.19</v>
      </c>
      <c r="L286" s="3">
        <f>SUMIFS($V$2:$V$10,$R$2:$R$10,F286)</f>
        <v>0.04</v>
      </c>
      <c r="M286" s="3">
        <f>SUMIFS($U$2:$U$10,$R$2:$R$10,D286)</f>
        <v>7.0000000000000007E-2</v>
      </c>
    </row>
    <row r="287" spans="1:13" x14ac:dyDescent="0.25">
      <c r="A287" s="3">
        <f>(A$2+A$2*M287+A$2*L287)*(1+K287)</f>
        <v>633.42400000000009</v>
      </c>
      <c r="B287" s="3">
        <f>(B$2+B$2*M287+B$2*L287)*(1+K287)</f>
        <v>736.75800000000004</v>
      </c>
      <c r="C287" s="3">
        <f>(C$2+C$2*M287+C$2*L287)*(1+K287)</f>
        <v>774.33399999999995</v>
      </c>
      <c r="D287" s="3">
        <v>5</v>
      </c>
      <c r="E287" s="3">
        <v>4</v>
      </c>
      <c r="F287" s="3">
        <v>3</v>
      </c>
      <c r="G287" s="3">
        <f>SUMIFS($S$2:$S$10,$R$2:$R$10,D287)</f>
        <v>10</v>
      </c>
      <c r="H287" s="3">
        <f>SUMIFS($S$2:$S$10,$R$2:$R$10,E287)</f>
        <v>7</v>
      </c>
      <c r="I287" s="3">
        <f>SUMIFS($S$2:$S$10,$R$2:$R$10,F287)</f>
        <v>4</v>
      </c>
      <c r="J287" s="3">
        <f>SUM(G287:I287)</f>
        <v>21</v>
      </c>
      <c r="K287" s="3">
        <f>SUMIFS($T$2:$T$10,$R$2:$R$10,E287)</f>
        <v>0.22</v>
      </c>
      <c r="L287" s="3">
        <f>SUMIFS($V$2:$V$10,$R$2:$R$10,F287)</f>
        <v>0.03</v>
      </c>
      <c r="M287" s="3">
        <f>SUMIFS($U$2:$U$10,$R$2:$R$10,D287)</f>
        <v>7.0000000000000007E-2</v>
      </c>
    </row>
    <row r="288" spans="1:13" x14ac:dyDescent="0.25">
      <c r="A288" s="3">
        <f>(A$2+A$2*M288+A$2*L288)*(1+K288)</f>
        <v>647.39520000000005</v>
      </c>
      <c r="B288" s="3">
        <f>(B$2+B$2*M288+B$2*L288)*(1+K288)</f>
        <v>753.00840000000005</v>
      </c>
      <c r="C288" s="3">
        <f>(C$2+C$2*M288+C$2*L288)*(1+K288)</f>
        <v>791.41319999999996</v>
      </c>
      <c r="D288" s="3">
        <v>5</v>
      </c>
      <c r="E288" s="3">
        <v>5</v>
      </c>
      <c r="F288" s="3">
        <v>1</v>
      </c>
      <c r="G288" s="3">
        <f>SUMIFS($S$2:$S$10,$R$2:$R$10,D288)</f>
        <v>10</v>
      </c>
      <c r="H288" s="3">
        <f>SUMIFS($S$2:$S$10,$R$2:$R$10,E288)</f>
        <v>10</v>
      </c>
      <c r="I288" s="3">
        <f>SUMIFS($S$2:$S$10,$R$2:$R$10,F288)</f>
        <v>1</v>
      </c>
      <c r="J288" s="3">
        <f>SUM(G288:I288)</f>
        <v>21</v>
      </c>
      <c r="K288" s="3">
        <f>SUMIFS($T$2:$T$10,$R$2:$R$10,E288)</f>
        <v>0.27</v>
      </c>
      <c r="L288" s="3">
        <f>SUMIFS($V$2:$V$10,$R$2:$R$10,F288)</f>
        <v>0.01</v>
      </c>
      <c r="M288" s="3">
        <f>SUMIFS($U$2:$U$10,$R$2:$R$10,D288)</f>
        <v>7.0000000000000007E-2</v>
      </c>
    </row>
    <row r="289" spans="1:13" x14ac:dyDescent="0.25">
      <c r="A289" s="3">
        <f>(A$2+A$2*M289+A$2*L289)*(1+K289)</f>
        <v>613.22239999999999</v>
      </c>
      <c r="B289" s="3">
        <f>(B$2+B$2*M289+B$2*L289)*(1+K289)</f>
        <v>713.2607999999999</v>
      </c>
      <c r="C289" s="3">
        <f>(C$2+C$2*M289+C$2*L289)*(1+K289)</f>
        <v>749.63839999999982</v>
      </c>
      <c r="D289" s="3">
        <v>6</v>
      </c>
      <c r="E289" s="3">
        <v>2</v>
      </c>
      <c r="F289" s="3">
        <v>3</v>
      </c>
      <c r="G289" s="3">
        <f>SUMIFS($S$2:$S$10,$R$2:$R$10,D289)</f>
        <v>15</v>
      </c>
      <c r="H289" s="3">
        <f>SUMIFS($S$2:$S$10,$R$2:$R$10,E289)</f>
        <v>2</v>
      </c>
      <c r="I289" s="3">
        <f>SUMIFS($S$2:$S$10,$R$2:$R$10,F289)</f>
        <v>4</v>
      </c>
      <c r="J289" s="3">
        <f>SUM(G289:I289)</f>
        <v>21</v>
      </c>
      <c r="K289" s="3">
        <f>SUMIFS($T$2:$T$10,$R$2:$R$10,E289)</f>
        <v>0.16</v>
      </c>
      <c r="L289" s="3">
        <f>SUMIFS($V$2:$V$10,$R$2:$R$10,F289)</f>
        <v>0.03</v>
      </c>
      <c r="M289" s="3">
        <f>SUMIFS($U$2:$U$10,$R$2:$R$10,D289)</f>
        <v>0.09</v>
      </c>
    </row>
    <row r="290" spans="1:13" x14ac:dyDescent="0.25">
      <c r="A290" s="3">
        <f>(A$2+A$2*M290+A$2*L290)*(1+K290)</f>
        <v>623.46480000000008</v>
      </c>
      <c r="B290" s="3">
        <f>(B$2+B$2*M290+B$2*L290)*(1+K290)</f>
        <v>725.17409999999995</v>
      </c>
      <c r="C290" s="3">
        <f>(C$2+C$2*M290+C$2*L290)*(1+K290)</f>
        <v>762.15929999999992</v>
      </c>
      <c r="D290" s="3">
        <v>6</v>
      </c>
      <c r="E290" s="3">
        <v>3</v>
      </c>
      <c r="F290" s="3">
        <v>2</v>
      </c>
      <c r="G290" s="3">
        <f>SUMIFS($S$2:$S$10,$R$2:$R$10,D290)</f>
        <v>15</v>
      </c>
      <c r="H290" s="3">
        <f>SUMIFS($S$2:$S$10,$R$2:$R$10,E290)</f>
        <v>4</v>
      </c>
      <c r="I290" s="3">
        <f>SUMIFS($S$2:$S$10,$R$2:$R$10,F290)</f>
        <v>2</v>
      </c>
      <c r="J290" s="3">
        <f>SUM(G290:I290)</f>
        <v>21</v>
      </c>
      <c r="K290" s="3">
        <f>SUMIFS($T$2:$T$10,$R$2:$R$10,E290)</f>
        <v>0.19</v>
      </c>
      <c r="L290" s="3">
        <f>SUMIFS($V$2:$V$10,$R$2:$R$10,F290)</f>
        <v>0.02</v>
      </c>
      <c r="M290" s="3">
        <f>SUMIFS($U$2:$U$10,$R$2:$R$10,D290)</f>
        <v>0.09</v>
      </c>
    </row>
    <row r="291" spans="1:13" x14ac:dyDescent="0.25">
      <c r="A291" s="3">
        <f>(A$2+A$2*M291+A$2*L291)*(1+K291)</f>
        <v>528.64</v>
      </c>
      <c r="B291" s="3">
        <f>(B$2+B$2*M291+B$2*L291)*(1+K291)</f>
        <v>614.88</v>
      </c>
      <c r="C291" s="3">
        <f>(C$2+C$2*M291+C$2*L291)*(1+K291)</f>
        <v>646.24</v>
      </c>
      <c r="D291" s="3">
        <v>7</v>
      </c>
      <c r="E291" s="3">
        <v>0</v>
      </c>
      <c r="F291" s="3">
        <v>1</v>
      </c>
      <c r="G291" s="3">
        <f>SUMIFS($S$2:$S$10,$R$2:$R$10,D291)</f>
        <v>20</v>
      </c>
      <c r="H291" s="3">
        <f>SUMIFS($S$2:$S$10,$R$2:$R$10,E291)</f>
        <v>0</v>
      </c>
      <c r="I291" s="3">
        <f>SUMIFS($S$2:$S$10,$R$2:$R$10,F291)</f>
        <v>1</v>
      </c>
      <c r="J291" s="3">
        <f>SUM(G291:I291)</f>
        <v>21</v>
      </c>
      <c r="K291" s="3">
        <f>SUMIFS($T$2:$T$10,$R$2:$R$10,E291)</f>
        <v>0</v>
      </c>
      <c r="L291" s="3">
        <f>SUMIFS($V$2:$V$10,$R$2:$R$10,F291)</f>
        <v>0.01</v>
      </c>
      <c r="M291" s="3">
        <f>SUMIFS($U$2:$U$10,$R$2:$R$10,D291)</f>
        <v>0.11</v>
      </c>
    </row>
    <row r="292" spans="1:13" x14ac:dyDescent="0.25">
      <c r="A292" s="3">
        <f>(A$2+A$2*M292+A$2*L292)*(1+K292)</f>
        <v>592.02959999999985</v>
      </c>
      <c r="B292" s="3">
        <f>(B$2+B$2*M292+B$2*L292)*(1+K292)</f>
        <v>688.61069999999995</v>
      </c>
      <c r="C292" s="3">
        <f>(C$2+C$2*M292+C$2*L292)*(1+K292)</f>
        <v>723.73109999999997</v>
      </c>
      <c r="D292" s="3">
        <v>7</v>
      </c>
      <c r="E292" s="3">
        <v>1</v>
      </c>
      <c r="F292" s="3">
        <v>0</v>
      </c>
      <c r="G292" s="3">
        <f>SUMIFS($S$2:$S$10,$R$2:$R$10,D292)</f>
        <v>20</v>
      </c>
      <c r="H292" s="3">
        <f>SUMIFS($S$2:$S$10,$R$2:$R$10,E292)</f>
        <v>1</v>
      </c>
      <c r="I292" s="3">
        <f>SUMIFS($S$2:$S$10,$R$2:$R$10,F292)</f>
        <v>0</v>
      </c>
      <c r="J292" s="3">
        <f>SUM(G292:I292)</f>
        <v>21</v>
      </c>
      <c r="K292" s="3">
        <f>SUMIFS($T$2:$T$10,$R$2:$R$10,E292)</f>
        <v>0.13</v>
      </c>
      <c r="L292" s="3">
        <f>SUMIFS($V$2:$V$10,$R$2:$R$10,F292)</f>
        <v>0</v>
      </c>
      <c r="M292" s="3">
        <f>SUMIFS($U$2:$U$10,$R$2:$R$10,D292)</f>
        <v>0.11</v>
      </c>
    </row>
    <row r="293" spans="1:13" x14ac:dyDescent="0.25">
      <c r="A293" s="2">
        <f>(A$2+A$2*K293+A$2*M293)*(1+L293)</f>
        <v>627.66560000000004</v>
      </c>
      <c r="B293" s="2">
        <f>(B$2+B$2*K293+B$2*M293)*(1+L293)</f>
        <v>730.06020000000012</v>
      </c>
      <c r="C293" s="2">
        <f>(C$2+C$2*K293+C$2*M293)*(1+L293)</f>
        <v>767.29460000000006</v>
      </c>
      <c r="D293" s="2">
        <v>4</v>
      </c>
      <c r="E293" s="2">
        <v>4</v>
      </c>
      <c r="F293" s="2">
        <v>4</v>
      </c>
      <c r="G293" s="2">
        <f>SUMIFS($S$2:$S$10,$R$2:$R$10,D293)</f>
        <v>7</v>
      </c>
      <c r="H293" s="2">
        <f>SUMIFS($S$2:$S$10,$R$2:$R$10,E293)</f>
        <v>7</v>
      </c>
      <c r="I293" s="2">
        <f>SUMIFS($S$2:$S$10,$R$2:$R$10,F293)</f>
        <v>7</v>
      </c>
      <c r="J293" s="2">
        <f>SUM(G293:I293)</f>
        <v>21</v>
      </c>
      <c r="K293" s="2">
        <f>SUMIFS($U$2:$U$10,$R$2:$R$10,E293)</f>
        <v>0.05</v>
      </c>
      <c r="L293" s="2">
        <f>SUMIFS($T$2:$T$10,$R$2:$R$10,F293)</f>
        <v>0.22</v>
      </c>
      <c r="M293" s="2">
        <f>SUMIFS($V$2:$V$10,$R$2:$R$10,D293)</f>
        <v>0.04</v>
      </c>
    </row>
    <row r="294" spans="1:13" x14ac:dyDescent="0.25">
      <c r="A294" s="2">
        <f>(A$2+A$2*K294+A$2*M294)*(1+L294)</f>
        <v>635.40640000000008</v>
      </c>
      <c r="B294" s="2">
        <f>(B$2+B$2*K294+B$2*M294)*(1+L294)</f>
        <v>739.06380000000013</v>
      </c>
      <c r="C294" s="2">
        <f>(C$2+C$2*K294+C$2*M294)*(1+L294)</f>
        <v>776.75739999999996</v>
      </c>
      <c r="D294" s="2">
        <v>5</v>
      </c>
      <c r="E294" s="2">
        <v>1</v>
      </c>
      <c r="F294" s="2">
        <v>5</v>
      </c>
      <c r="G294" s="2">
        <f>SUMIFS($S$2:$S$10,$R$2:$R$10,D294)</f>
        <v>10</v>
      </c>
      <c r="H294" s="2">
        <f>SUMIFS($S$2:$S$10,$R$2:$R$10,E294)</f>
        <v>1</v>
      </c>
      <c r="I294" s="2">
        <f>SUMIFS($S$2:$S$10,$R$2:$R$10,F294)</f>
        <v>10</v>
      </c>
      <c r="J294" s="2">
        <f>SUM(G294:I294)</f>
        <v>21</v>
      </c>
      <c r="K294" s="2">
        <f>SUMIFS($U$2:$U$10,$R$2:$R$10,E294)</f>
        <v>0.01</v>
      </c>
      <c r="L294" s="2">
        <f>SUMIFS($T$2:$T$10,$R$2:$R$10,F294)</f>
        <v>0.27</v>
      </c>
      <c r="M294" s="2">
        <f>SUMIFS($V$2:$V$10,$R$2:$R$10,D294)</f>
        <v>0.05</v>
      </c>
    </row>
    <row r="295" spans="1:13" x14ac:dyDescent="0.25">
      <c r="A295" s="2">
        <f>(A$2+A$2*K295+A$2*M295)*(1+L295)</f>
        <v>621.90719999999999</v>
      </c>
      <c r="B295" s="2">
        <f>(B$2+B$2*K295+B$2*M295)*(1+L295)</f>
        <v>723.36240000000009</v>
      </c>
      <c r="C295" s="2">
        <f>(C$2+C$2*K295+C$2*M295)*(1+L295)</f>
        <v>760.25519999999995</v>
      </c>
      <c r="D295" s="2">
        <v>5</v>
      </c>
      <c r="E295" s="2">
        <v>3</v>
      </c>
      <c r="F295" s="2">
        <v>4</v>
      </c>
      <c r="G295" s="2">
        <f>SUMIFS($S$2:$S$10,$R$2:$R$10,D295)</f>
        <v>10</v>
      </c>
      <c r="H295" s="2">
        <f>SUMIFS($S$2:$S$10,$R$2:$R$10,E295)</f>
        <v>4</v>
      </c>
      <c r="I295" s="2">
        <f>SUMIFS($S$2:$S$10,$R$2:$R$10,F295)</f>
        <v>7</v>
      </c>
      <c r="J295" s="2">
        <f>SUM(G295:I295)</f>
        <v>21</v>
      </c>
      <c r="K295" s="2">
        <f>SUMIFS($U$2:$U$10,$R$2:$R$10,E295)</f>
        <v>0.03</v>
      </c>
      <c r="L295" s="2">
        <f>SUMIFS($T$2:$T$10,$R$2:$R$10,F295)</f>
        <v>0.22</v>
      </c>
      <c r="M295" s="2">
        <f>SUMIFS($V$2:$V$10,$R$2:$R$10,D295)</f>
        <v>0.05</v>
      </c>
    </row>
    <row r="296" spans="1:13" x14ac:dyDescent="0.25">
      <c r="A296" s="2">
        <f>(A$2+A$2*K296+A$2*M296)*(1+L296)</f>
        <v>617.84800000000007</v>
      </c>
      <c r="B296" s="2">
        <f>(B$2+B$2*K296+B$2*M296)*(1+L296)</f>
        <v>718.64100000000008</v>
      </c>
      <c r="C296" s="2">
        <f>(C$2+C$2*K296+C$2*M296)*(1+L296)</f>
        <v>755.29300000000001</v>
      </c>
      <c r="D296" s="2">
        <v>5</v>
      </c>
      <c r="E296" s="2">
        <v>4</v>
      </c>
      <c r="F296" s="2">
        <v>3</v>
      </c>
      <c r="G296" s="2">
        <f>SUMIFS($S$2:$S$10,$R$2:$R$10,D296)</f>
        <v>10</v>
      </c>
      <c r="H296" s="2">
        <f>SUMIFS($S$2:$S$10,$R$2:$R$10,E296)</f>
        <v>7</v>
      </c>
      <c r="I296" s="2">
        <f>SUMIFS($S$2:$S$10,$R$2:$R$10,F296)</f>
        <v>4</v>
      </c>
      <c r="J296" s="2">
        <f>SUM(G296:I296)</f>
        <v>21</v>
      </c>
      <c r="K296" s="2">
        <f>SUMIFS($U$2:$U$10,$R$2:$R$10,E296)</f>
        <v>0.05</v>
      </c>
      <c r="L296" s="2">
        <f>SUMIFS($T$2:$T$10,$R$2:$R$10,F296)</f>
        <v>0.19</v>
      </c>
      <c r="M296" s="2">
        <f>SUMIFS($V$2:$V$10,$R$2:$R$10,D296)</f>
        <v>0.05</v>
      </c>
    </row>
    <row r="297" spans="1:13" x14ac:dyDescent="0.25">
      <c r="A297" s="2">
        <f>(A$2+A$2*K297+A$2*M297)*(1+L297)</f>
        <v>597.36319999999989</v>
      </c>
      <c r="B297" s="2">
        <f>(B$2+B$2*K297+B$2*M297)*(1+L297)</f>
        <v>694.81440000000009</v>
      </c>
      <c r="C297" s="2">
        <f>(C$2+C$2*K297+C$2*M297)*(1+L297)</f>
        <v>730.25119999999993</v>
      </c>
      <c r="D297" s="2">
        <v>5</v>
      </c>
      <c r="E297" s="2">
        <v>5</v>
      </c>
      <c r="F297" s="2">
        <v>1</v>
      </c>
      <c r="G297" s="2">
        <f>SUMIFS($S$2:$S$10,$R$2:$R$10,D297)</f>
        <v>10</v>
      </c>
      <c r="H297" s="2">
        <f>SUMIFS($S$2:$S$10,$R$2:$R$10,E297)</f>
        <v>10</v>
      </c>
      <c r="I297" s="2">
        <f>SUMIFS($S$2:$S$10,$R$2:$R$10,F297)</f>
        <v>1</v>
      </c>
      <c r="J297" s="2">
        <f>SUM(G297:I297)</f>
        <v>21</v>
      </c>
      <c r="K297" s="2">
        <f>SUMIFS($U$2:$U$10,$R$2:$R$10,E297)</f>
        <v>7.0000000000000007E-2</v>
      </c>
      <c r="L297" s="2">
        <f>SUMIFS($T$2:$T$10,$R$2:$R$10,F297)</f>
        <v>0.13</v>
      </c>
      <c r="M297" s="2">
        <f>SUMIFS($V$2:$V$10,$R$2:$R$10,D297)</f>
        <v>0.05</v>
      </c>
    </row>
    <row r="298" spans="1:13" x14ac:dyDescent="0.25">
      <c r="A298" s="2">
        <f>(A$2+A$2*K298+A$2*M298)*(1+L298)</f>
        <v>606.61439999999993</v>
      </c>
      <c r="B298" s="2">
        <f>(B$2+B$2*K298+B$2*M298)*(1+L298)</f>
        <v>705.5748000000001</v>
      </c>
      <c r="C298" s="2">
        <f>(C$2+C$2*K298+C$2*M298)*(1+L298)</f>
        <v>741.56039999999996</v>
      </c>
      <c r="D298" s="2">
        <v>6</v>
      </c>
      <c r="E298" s="2">
        <v>2</v>
      </c>
      <c r="F298" s="2">
        <v>3</v>
      </c>
      <c r="G298" s="2">
        <f>SUMIFS($S$2:$S$10,$R$2:$R$10,D298)</f>
        <v>15</v>
      </c>
      <c r="H298" s="2">
        <f>SUMIFS($S$2:$S$10,$R$2:$R$10,E298)</f>
        <v>2</v>
      </c>
      <c r="I298" s="2">
        <f>SUMIFS($S$2:$S$10,$R$2:$R$10,F298)</f>
        <v>4</v>
      </c>
      <c r="J298" s="2">
        <f>SUM(G298:I298)</f>
        <v>21</v>
      </c>
      <c r="K298" s="2">
        <f>SUMIFS($U$2:$U$10,$R$2:$R$10,E298)</f>
        <v>0.02</v>
      </c>
      <c r="L298" s="2">
        <f>SUMIFS($T$2:$T$10,$R$2:$R$10,F298)</f>
        <v>0.19</v>
      </c>
      <c r="M298" s="2">
        <f>SUMIFS($V$2:$V$10,$R$2:$R$10,D298)</f>
        <v>0.06</v>
      </c>
    </row>
    <row r="299" spans="1:13" x14ac:dyDescent="0.25">
      <c r="A299" s="2">
        <f>(A$2+A$2*K299+A$2*M299)*(1+L299)</f>
        <v>596.79679999999996</v>
      </c>
      <c r="B299" s="2">
        <f>(B$2+B$2*K299+B$2*M299)*(1+L299)</f>
        <v>694.15560000000005</v>
      </c>
      <c r="C299" s="2">
        <f>(C$2+C$2*K299+C$2*M299)*(1+L299)</f>
        <v>729.55879999999991</v>
      </c>
      <c r="D299" s="2">
        <v>6</v>
      </c>
      <c r="E299" s="2">
        <v>3</v>
      </c>
      <c r="F299" s="2">
        <v>2</v>
      </c>
      <c r="G299" s="2">
        <f>SUMIFS($S$2:$S$10,$R$2:$R$10,D299)</f>
        <v>15</v>
      </c>
      <c r="H299" s="2">
        <f>SUMIFS($S$2:$S$10,$R$2:$R$10,E299)</f>
        <v>4</v>
      </c>
      <c r="I299" s="2">
        <f>SUMIFS($S$2:$S$10,$R$2:$R$10,F299)</f>
        <v>2</v>
      </c>
      <c r="J299" s="2">
        <f>SUM(G299:I299)</f>
        <v>21</v>
      </c>
      <c r="K299" s="2">
        <f>SUMIFS($U$2:$U$10,$R$2:$R$10,E299)</f>
        <v>0.03</v>
      </c>
      <c r="L299" s="2">
        <f>SUMIFS($T$2:$T$10,$R$2:$R$10,F299)</f>
        <v>0.16</v>
      </c>
      <c r="M299" s="2">
        <f>SUMIFS($V$2:$V$10,$R$2:$R$10,D299)</f>
        <v>0.06</v>
      </c>
    </row>
    <row r="300" spans="1:13" x14ac:dyDescent="0.25">
      <c r="A300" s="2">
        <f>(A$2+A$2*K300+A$2*M300)*(1+L300)</f>
        <v>570.6952</v>
      </c>
      <c r="B300" s="2">
        <f>(B$2+B$2*K300+B$2*M300)*(1+L300)</f>
        <v>663.79589999999996</v>
      </c>
      <c r="C300" s="2">
        <f>(C$2+C$2*K300+C$2*M300)*(1+L300)</f>
        <v>697.65069999999992</v>
      </c>
      <c r="D300" s="2">
        <v>7</v>
      </c>
      <c r="E300" s="2">
        <v>0</v>
      </c>
      <c r="F300" s="2">
        <v>1</v>
      </c>
      <c r="G300" s="2">
        <f>SUMIFS($S$2:$S$10,$R$2:$R$10,D300)</f>
        <v>20</v>
      </c>
      <c r="H300" s="2">
        <f>SUMIFS($S$2:$S$10,$R$2:$R$10,E300)</f>
        <v>0</v>
      </c>
      <c r="I300" s="2">
        <f>SUMIFS($S$2:$S$10,$R$2:$R$10,F300)</f>
        <v>1</v>
      </c>
      <c r="J300" s="2">
        <f>SUM(G300:I300)</f>
        <v>21</v>
      </c>
      <c r="K300" s="2">
        <f>SUMIFS($U$2:$U$10,$R$2:$R$10,E300)</f>
        <v>0</v>
      </c>
      <c r="L300" s="2">
        <f>SUMIFS($T$2:$T$10,$R$2:$R$10,F300)</f>
        <v>0.13</v>
      </c>
      <c r="M300" s="2">
        <f>SUMIFS($V$2:$V$10,$R$2:$R$10,D300)</f>
        <v>7.0000000000000007E-2</v>
      </c>
    </row>
    <row r="301" spans="1:13" x14ac:dyDescent="0.25">
      <c r="A301" s="2">
        <f>(A$2+A$2*K301+A$2*M301)*(1+L301)</f>
        <v>509.76000000000005</v>
      </c>
      <c r="B301" s="2">
        <f>(B$2+B$2*K301+B$2*M301)*(1+L301)</f>
        <v>592.92000000000007</v>
      </c>
      <c r="C301" s="2">
        <f>(C$2+C$2*K301+C$2*M301)*(1+L301)</f>
        <v>623.16</v>
      </c>
      <c r="D301" s="2">
        <v>7</v>
      </c>
      <c r="E301" s="2">
        <v>1</v>
      </c>
      <c r="F301" s="2">
        <v>0</v>
      </c>
      <c r="G301" s="2">
        <f>SUMIFS($S$2:$S$10,$R$2:$R$10,D301)</f>
        <v>20</v>
      </c>
      <c r="H301" s="2">
        <f>SUMIFS($S$2:$S$10,$R$2:$R$10,E301)</f>
        <v>1</v>
      </c>
      <c r="I301" s="2">
        <f>SUMIFS($S$2:$S$10,$R$2:$R$10,F301)</f>
        <v>0</v>
      </c>
      <c r="J301" s="2">
        <f>SUM(G301:I301)</f>
        <v>21</v>
      </c>
      <c r="K301" s="2">
        <f>SUMIFS($U$2:$U$10,$R$2:$R$10,E301)</f>
        <v>0.01</v>
      </c>
      <c r="L301" s="2">
        <f>SUMIFS($T$2:$T$10,$R$2:$R$10,F301)</f>
        <v>0</v>
      </c>
      <c r="M301" s="2">
        <f>SUMIFS($V$2:$V$10,$R$2:$R$10,D301)</f>
        <v>7.0000000000000007E-2</v>
      </c>
    </row>
    <row r="302" spans="1:13" x14ac:dyDescent="0.25">
      <c r="A302" s="1">
        <f>(A$2+A$2*K302+A$2*L302)*(1+M302)</f>
        <v>641.4008</v>
      </c>
      <c r="B302" s="1">
        <f>(B$2+B$2*K302+B$2*L302)*(1+M302)</f>
        <v>746.03610000000015</v>
      </c>
      <c r="C302" s="1">
        <f>(C$2+C$2*K302+C$2*L302)*(1+M302)</f>
        <v>784.08529999999996</v>
      </c>
      <c r="D302" s="1">
        <v>5</v>
      </c>
      <c r="E302" s="1">
        <v>2</v>
      </c>
      <c r="F302" s="1">
        <v>5</v>
      </c>
      <c r="G302" s="1">
        <f>SUMIFS($S$2:$S$10,$R$2:$R$10,D302)</f>
        <v>10</v>
      </c>
      <c r="H302" s="1">
        <f>SUMIFS($S$2:$S$10,$R$2:$R$10,E302)</f>
        <v>2</v>
      </c>
      <c r="I302" s="1">
        <f>SUMIFS($S$2:$S$10,$R$2:$R$10,F302)</f>
        <v>10</v>
      </c>
      <c r="J302" s="1">
        <f>SUM(G302:I302)</f>
        <v>22</v>
      </c>
      <c r="K302" s="1">
        <f>SUMIFS($U$2:$U$10,$R$2:$R$10,E302)</f>
        <v>0.02</v>
      </c>
      <c r="L302" s="1">
        <f>SUMIFS($V$2:$V$10,$R$2:$R$10,F302)</f>
        <v>0.05</v>
      </c>
      <c r="M302" s="1">
        <f>SUMIFS($T$2:$T$10,$R$2:$R$10,D302)</f>
        <v>0.27</v>
      </c>
    </row>
    <row r="303" spans="1:13" x14ac:dyDescent="0.25">
      <c r="A303" s="1">
        <f>(A$2+A$2*K303+A$2*L303)*(1+M303)</f>
        <v>653.38960000000009</v>
      </c>
      <c r="B303" s="1">
        <f>(B$2+B$2*K303+B$2*L303)*(1+M303)</f>
        <v>759.98070000000007</v>
      </c>
      <c r="C303" s="1">
        <f>(C$2+C$2*K303+C$2*L303)*(1+M303)</f>
        <v>798.74109999999996</v>
      </c>
      <c r="D303" s="1">
        <v>5</v>
      </c>
      <c r="E303" s="1">
        <v>5</v>
      </c>
      <c r="F303" s="1">
        <v>2</v>
      </c>
      <c r="G303" s="1">
        <f>SUMIFS($S$2:$S$10,$R$2:$R$10,D303)</f>
        <v>10</v>
      </c>
      <c r="H303" s="1">
        <f>SUMIFS($S$2:$S$10,$R$2:$R$10,E303)</f>
        <v>10</v>
      </c>
      <c r="I303" s="1">
        <f>SUMIFS($S$2:$S$10,$R$2:$R$10,F303)</f>
        <v>2</v>
      </c>
      <c r="J303" s="1">
        <f>SUM(G303:I303)</f>
        <v>22</v>
      </c>
      <c r="K303" s="1">
        <f>SUMIFS($U$2:$U$10,$R$2:$R$10,E303)</f>
        <v>7.0000000000000007E-2</v>
      </c>
      <c r="L303" s="1">
        <f>SUMIFS($V$2:$V$10,$R$2:$R$10,F303)</f>
        <v>0.02</v>
      </c>
      <c r="M303" s="1">
        <f>SUMIFS($T$2:$T$10,$R$2:$R$10,D303)</f>
        <v>0.27</v>
      </c>
    </row>
    <row r="304" spans="1:13" x14ac:dyDescent="0.25">
      <c r="A304" s="1">
        <f>(A$2+A$2*K304+A$2*L304)*(1+M304)</f>
        <v>647.96159999999998</v>
      </c>
      <c r="B304" s="1">
        <f>(B$2+B$2*K304+B$2*L304)*(1+M304)</f>
        <v>753.66720000000009</v>
      </c>
      <c r="C304" s="1">
        <f>(C$2+C$2*K304+C$2*L304)*(1+M304)</f>
        <v>792.10560000000009</v>
      </c>
      <c r="D304" s="1">
        <v>6</v>
      </c>
      <c r="E304" s="1">
        <v>0</v>
      </c>
      <c r="F304" s="1">
        <v>4</v>
      </c>
      <c r="G304" s="1">
        <f>SUMIFS($S$2:$S$10,$R$2:$R$10,D304)</f>
        <v>15</v>
      </c>
      <c r="H304" s="1">
        <f>SUMIFS($S$2:$S$10,$R$2:$R$10,E304)</f>
        <v>0</v>
      </c>
      <c r="I304" s="1">
        <f>SUMIFS($S$2:$S$10,$R$2:$R$10,F304)</f>
        <v>7</v>
      </c>
      <c r="J304" s="1">
        <f>SUM(G304:I304)</f>
        <v>22</v>
      </c>
      <c r="K304" s="1">
        <f>SUMIFS($U$2:$U$10,$R$2:$R$10,E304)</f>
        <v>0</v>
      </c>
      <c r="L304" s="1">
        <f>SUMIFS($V$2:$V$10,$R$2:$R$10,F304)</f>
        <v>0.04</v>
      </c>
      <c r="M304" s="1">
        <f>SUMIFS($T$2:$T$10,$R$2:$R$10,D304)</f>
        <v>0.32</v>
      </c>
    </row>
    <row r="305" spans="1:13" x14ac:dyDescent="0.25">
      <c r="A305" s="1">
        <f>(A$2+A$2*K305+A$2*L305)*(1+M305)</f>
        <v>654.19200000000001</v>
      </c>
      <c r="B305" s="1">
        <f>(B$2+B$2*K305+B$2*L305)*(1+M305)</f>
        <v>760.9140000000001</v>
      </c>
      <c r="C305" s="1">
        <f>(C$2+C$2*K305+C$2*L305)*(1+M305)</f>
        <v>799.72200000000009</v>
      </c>
      <c r="D305" s="1">
        <v>6</v>
      </c>
      <c r="E305" s="1">
        <v>4</v>
      </c>
      <c r="F305" s="1">
        <v>0</v>
      </c>
      <c r="G305" s="1">
        <f>SUMIFS($S$2:$S$10,$R$2:$R$10,D305)</f>
        <v>15</v>
      </c>
      <c r="H305" s="1">
        <f>SUMIFS($S$2:$S$10,$R$2:$R$10,E305)</f>
        <v>7</v>
      </c>
      <c r="I305" s="1">
        <f>SUMIFS($S$2:$S$10,$R$2:$R$10,F305)</f>
        <v>0</v>
      </c>
      <c r="J305" s="1">
        <f>SUM(G305:I305)</f>
        <v>22</v>
      </c>
      <c r="K305" s="1">
        <f>SUMIFS($U$2:$U$10,$R$2:$R$10,E305)</f>
        <v>0.05</v>
      </c>
      <c r="L305" s="1">
        <f>SUMIFS($V$2:$V$10,$R$2:$R$10,F305)</f>
        <v>0</v>
      </c>
      <c r="M305" s="1">
        <f>SUMIFS($T$2:$T$10,$R$2:$R$10,D305)</f>
        <v>0.32</v>
      </c>
    </row>
    <row r="306" spans="1:13" x14ac:dyDescent="0.25">
      <c r="A306" s="1">
        <f>(A$2+A$2*K306+A$2*L306)*(1+M306)</f>
        <v>659.57280000000003</v>
      </c>
      <c r="B306" s="1">
        <f>(B$2+B$2*K306+B$2*L306)*(1+M306)</f>
        <v>767.1726000000001</v>
      </c>
      <c r="C306" s="1">
        <f>(C$2+C$2*K306+C$2*L306)*(1+M306)</f>
        <v>806.2998</v>
      </c>
      <c r="D306" s="1">
        <v>7</v>
      </c>
      <c r="E306" s="1">
        <v>0</v>
      </c>
      <c r="F306" s="1">
        <v>2</v>
      </c>
      <c r="G306" s="1">
        <f>SUMIFS($S$2:$S$10,$R$2:$R$10,D306)</f>
        <v>20</v>
      </c>
      <c r="H306" s="1">
        <f>SUMIFS($S$2:$S$10,$R$2:$R$10,E306)</f>
        <v>0</v>
      </c>
      <c r="I306" s="1">
        <f>SUMIFS($S$2:$S$10,$R$2:$R$10,F306)</f>
        <v>2</v>
      </c>
      <c r="J306" s="1">
        <f>SUM(G306:I306)</f>
        <v>22</v>
      </c>
      <c r="K306" s="1">
        <f>SUMIFS($U$2:$U$10,$R$2:$R$10,E306)</f>
        <v>0</v>
      </c>
      <c r="L306" s="1">
        <f>SUMIFS($V$2:$V$10,$R$2:$R$10,F306)</f>
        <v>0.02</v>
      </c>
      <c r="M306" s="1">
        <f>SUMIFS($T$2:$T$10,$R$2:$R$10,D306)</f>
        <v>0.37</v>
      </c>
    </row>
    <row r="307" spans="1:13" x14ac:dyDescent="0.25">
      <c r="A307" s="1">
        <f>(A$2+A$2*K307+A$2*L307)*(1+M307)</f>
        <v>659.57280000000014</v>
      </c>
      <c r="B307" s="1">
        <f>(B$2+B$2*K307+B$2*L307)*(1+M307)</f>
        <v>767.1726000000001</v>
      </c>
      <c r="C307" s="1">
        <f>(C$2+C$2*K307+C$2*L307)*(1+M307)</f>
        <v>806.2998</v>
      </c>
      <c r="D307" s="1">
        <v>7</v>
      </c>
      <c r="E307" s="1">
        <v>1</v>
      </c>
      <c r="F307" s="1">
        <v>1</v>
      </c>
      <c r="G307" s="1">
        <f>SUMIFS($S$2:$S$10,$R$2:$R$10,D307)</f>
        <v>20</v>
      </c>
      <c r="H307" s="1">
        <f>SUMIFS($S$2:$S$10,$R$2:$R$10,E307)</f>
        <v>1</v>
      </c>
      <c r="I307" s="1">
        <f>SUMIFS($S$2:$S$10,$R$2:$R$10,F307)</f>
        <v>1</v>
      </c>
      <c r="J307" s="1">
        <f>SUM(G307:I307)</f>
        <v>22</v>
      </c>
      <c r="K307" s="1">
        <f>SUMIFS($U$2:$U$10,$R$2:$R$10,E307)</f>
        <v>0.01</v>
      </c>
      <c r="L307" s="1">
        <f>SUMIFS($V$2:$V$10,$R$2:$R$10,F307)</f>
        <v>0.01</v>
      </c>
      <c r="M307" s="1">
        <f>SUMIFS($T$2:$T$10,$R$2:$R$10,D307)</f>
        <v>0.37</v>
      </c>
    </row>
    <row r="308" spans="1:13" x14ac:dyDescent="0.25">
      <c r="A308" s="1">
        <f>(A$2+A$2*K308+A$2*L308)*(1+M308)</f>
        <v>659.57280000000003</v>
      </c>
      <c r="B308" s="1">
        <f>(B$2+B$2*K308+B$2*L308)*(1+M308)</f>
        <v>767.1726000000001</v>
      </c>
      <c r="C308" s="1">
        <f>(C$2+C$2*K308+C$2*L308)*(1+M308)</f>
        <v>806.2998</v>
      </c>
      <c r="D308" s="1">
        <v>7</v>
      </c>
      <c r="E308" s="1">
        <v>2</v>
      </c>
      <c r="F308" s="1">
        <v>0</v>
      </c>
      <c r="G308" s="1">
        <f>SUMIFS($S$2:$S$10,$R$2:$R$10,D308)</f>
        <v>20</v>
      </c>
      <c r="H308" s="1">
        <f>SUMIFS($S$2:$S$10,$R$2:$R$10,E308)</f>
        <v>2</v>
      </c>
      <c r="I308" s="1">
        <f>SUMIFS($S$2:$S$10,$R$2:$R$10,F308)</f>
        <v>0</v>
      </c>
      <c r="J308" s="1">
        <f>SUM(G308:I308)</f>
        <v>22</v>
      </c>
      <c r="K308" s="1">
        <f>SUMIFS($U$2:$U$10,$R$2:$R$10,E308)</f>
        <v>0.02</v>
      </c>
      <c r="L308" s="1">
        <f>SUMIFS($V$2:$V$10,$R$2:$R$10,F308)</f>
        <v>0</v>
      </c>
      <c r="M308" s="1">
        <f>SUMIFS($T$2:$T$10,$R$2:$R$10,D308)</f>
        <v>0.37</v>
      </c>
    </row>
    <row r="309" spans="1:13" x14ac:dyDescent="0.25">
      <c r="A309" s="3">
        <f>(A$2+A$2*M309+A$2*L309)*(1+K309)</f>
        <v>613.22239999999999</v>
      </c>
      <c r="B309" s="3">
        <f>(B$2+B$2*M309+B$2*L309)*(1+K309)</f>
        <v>713.26080000000013</v>
      </c>
      <c r="C309" s="3">
        <f>(C$2+C$2*M309+C$2*L309)*(1+K309)</f>
        <v>749.63839999999993</v>
      </c>
      <c r="D309" s="3">
        <v>5</v>
      </c>
      <c r="E309" s="3">
        <v>2</v>
      </c>
      <c r="F309" s="3">
        <v>5</v>
      </c>
      <c r="G309" s="3">
        <f>SUMIFS($S$2:$S$10,$R$2:$R$10,D309)</f>
        <v>10</v>
      </c>
      <c r="H309" s="3">
        <f>SUMIFS($S$2:$S$10,$R$2:$R$10,E309)</f>
        <v>2</v>
      </c>
      <c r="I309" s="3">
        <f>SUMIFS($S$2:$S$10,$R$2:$R$10,F309)</f>
        <v>10</v>
      </c>
      <c r="J309" s="3">
        <f>SUM(G309:I309)</f>
        <v>22</v>
      </c>
      <c r="K309" s="3">
        <f>SUMIFS($T$2:$T$10,$R$2:$R$10,E309)</f>
        <v>0.16</v>
      </c>
      <c r="L309" s="3">
        <f>SUMIFS($V$2:$V$10,$R$2:$R$10,F309)</f>
        <v>0.05</v>
      </c>
      <c r="M309" s="3">
        <f>SUMIFS($U$2:$U$10,$R$2:$R$10,D309)</f>
        <v>7.0000000000000007E-2</v>
      </c>
    </row>
    <row r="310" spans="1:13" x14ac:dyDescent="0.25">
      <c r="A310" s="3">
        <f>(A$2+A$2*M310+A$2*L310)*(1+K310)</f>
        <v>653.38960000000009</v>
      </c>
      <c r="B310" s="3">
        <f>(B$2+B$2*M310+B$2*L310)*(1+K310)</f>
        <v>759.98070000000007</v>
      </c>
      <c r="C310" s="3">
        <f>(C$2+C$2*M310+C$2*L310)*(1+K310)</f>
        <v>798.74109999999996</v>
      </c>
      <c r="D310" s="3">
        <v>5</v>
      </c>
      <c r="E310" s="3">
        <v>5</v>
      </c>
      <c r="F310" s="3">
        <v>2</v>
      </c>
      <c r="G310" s="3">
        <f>SUMIFS($S$2:$S$10,$R$2:$R$10,D310)</f>
        <v>10</v>
      </c>
      <c r="H310" s="3">
        <f>SUMIFS($S$2:$S$10,$R$2:$R$10,E310)</f>
        <v>10</v>
      </c>
      <c r="I310" s="3">
        <f>SUMIFS($S$2:$S$10,$R$2:$R$10,F310)</f>
        <v>2</v>
      </c>
      <c r="J310" s="3">
        <f>SUM(G310:I310)</f>
        <v>22</v>
      </c>
      <c r="K310" s="3">
        <f>SUMIFS($T$2:$T$10,$R$2:$R$10,E310)</f>
        <v>0.27</v>
      </c>
      <c r="L310" s="3">
        <f>SUMIFS($V$2:$V$10,$R$2:$R$10,F310)</f>
        <v>0.02</v>
      </c>
      <c r="M310" s="3">
        <f>SUMIFS($U$2:$U$10,$R$2:$R$10,D310)</f>
        <v>7.0000000000000007E-2</v>
      </c>
    </row>
    <row r="311" spans="1:13" x14ac:dyDescent="0.25">
      <c r="A311" s="3">
        <f>(A$2+A$2*M311+A$2*L311)*(1+K311)</f>
        <v>533.36</v>
      </c>
      <c r="B311" s="3">
        <f>(B$2+B$2*M311+B$2*L311)*(1+K311)</f>
        <v>620.37</v>
      </c>
      <c r="C311" s="3">
        <f>(C$2+C$2*M311+C$2*L311)*(1+K311)</f>
        <v>652.01</v>
      </c>
      <c r="D311" s="3">
        <v>6</v>
      </c>
      <c r="E311" s="3">
        <v>0</v>
      </c>
      <c r="F311" s="3">
        <v>4</v>
      </c>
      <c r="G311" s="3">
        <f>SUMIFS($S$2:$S$10,$R$2:$R$10,D311)</f>
        <v>15</v>
      </c>
      <c r="H311" s="3">
        <f>SUMIFS($S$2:$S$10,$R$2:$R$10,E311)</f>
        <v>0</v>
      </c>
      <c r="I311" s="3">
        <f>SUMIFS($S$2:$S$10,$R$2:$R$10,F311)</f>
        <v>7</v>
      </c>
      <c r="J311" s="3">
        <f>SUM(G311:I311)</f>
        <v>22</v>
      </c>
      <c r="K311" s="3">
        <f>SUMIFS($T$2:$T$10,$R$2:$R$10,E311)</f>
        <v>0</v>
      </c>
      <c r="L311" s="3">
        <f>SUMIFS($V$2:$V$10,$R$2:$R$10,F311)</f>
        <v>0.04</v>
      </c>
      <c r="M311" s="3">
        <f>SUMIFS($U$2:$U$10,$R$2:$R$10,D311)</f>
        <v>0.09</v>
      </c>
    </row>
    <row r="312" spans="1:13" x14ac:dyDescent="0.25">
      <c r="A312" s="3">
        <f>(A$2+A$2*M312+A$2*L312)*(1+K312)</f>
        <v>627.66560000000004</v>
      </c>
      <c r="B312" s="3">
        <f>(B$2+B$2*M312+B$2*L312)*(1+K312)</f>
        <v>730.0601999999999</v>
      </c>
      <c r="C312" s="3">
        <f>(C$2+C$2*M312+C$2*L312)*(1+K312)</f>
        <v>767.29459999999995</v>
      </c>
      <c r="D312" s="3">
        <v>6</v>
      </c>
      <c r="E312" s="3">
        <v>4</v>
      </c>
      <c r="F312" s="3">
        <v>0</v>
      </c>
      <c r="G312" s="3">
        <f>SUMIFS($S$2:$S$10,$R$2:$R$10,D312)</f>
        <v>15</v>
      </c>
      <c r="H312" s="3">
        <f>SUMIFS($S$2:$S$10,$R$2:$R$10,E312)</f>
        <v>7</v>
      </c>
      <c r="I312" s="3">
        <f>SUMIFS($S$2:$S$10,$R$2:$R$10,F312)</f>
        <v>0</v>
      </c>
      <c r="J312" s="3">
        <f>SUM(G312:I312)</f>
        <v>22</v>
      </c>
      <c r="K312" s="3">
        <f>SUMIFS($T$2:$T$10,$R$2:$R$10,E312)</f>
        <v>0.22</v>
      </c>
      <c r="L312" s="3">
        <f>SUMIFS($V$2:$V$10,$R$2:$R$10,F312)</f>
        <v>0</v>
      </c>
      <c r="M312" s="3">
        <f>SUMIFS($U$2:$U$10,$R$2:$R$10,D312)</f>
        <v>0.09</v>
      </c>
    </row>
    <row r="313" spans="1:13" x14ac:dyDescent="0.25">
      <c r="A313" s="3">
        <f>(A$2+A$2*M313+A$2*L313)*(1+K313)</f>
        <v>533.36</v>
      </c>
      <c r="B313" s="3">
        <f>(B$2+B$2*M313+B$2*L313)*(1+K313)</f>
        <v>620.37</v>
      </c>
      <c r="C313" s="3">
        <f>(C$2+C$2*M313+C$2*L313)*(1+K313)</f>
        <v>652.01</v>
      </c>
      <c r="D313" s="3">
        <v>7</v>
      </c>
      <c r="E313" s="3">
        <v>0</v>
      </c>
      <c r="F313" s="3">
        <v>2</v>
      </c>
      <c r="G313" s="3">
        <f>SUMIFS($S$2:$S$10,$R$2:$R$10,D313)</f>
        <v>20</v>
      </c>
      <c r="H313" s="3">
        <f>SUMIFS($S$2:$S$10,$R$2:$R$10,E313)</f>
        <v>0</v>
      </c>
      <c r="I313" s="3">
        <f>SUMIFS($S$2:$S$10,$R$2:$R$10,F313)</f>
        <v>2</v>
      </c>
      <c r="J313" s="3">
        <f>SUM(G313:I313)</f>
        <v>22</v>
      </c>
      <c r="K313" s="3">
        <f>SUMIFS($T$2:$T$10,$R$2:$R$10,E313)</f>
        <v>0</v>
      </c>
      <c r="L313" s="3">
        <f>SUMIFS($V$2:$V$10,$R$2:$R$10,F313)</f>
        <v>0.02</v>
      </c>
      <c r="M313" s="3">
        <f>SUMIFS($U$2:$U$10,$R$2:$R$10,D313)</f>
        <v>0.11</v>
      </c>
    </row>
    <row r="314" spans="1:13" x14ac:dyDescent="0.25">
      <c r="A314" s="3">
        <f>(A$2+A$2*M314+A$2*L314)*(1+K314)</f>
        <v>597.36319999999989</v>
      </c>
      <c r="B314" s="3">
        <f>(B$2+B$2*M314+B$2*L314)*(1+K314)</f>
        <v>694.81439999999998</v>
      </c>
      <c r="C314" s="3">
        <f>(C$2+C$2*M314+C$2*L314)*(1+K314)</f>
        <v>730.25119999999993</v>
      </c>
      <c r="D314" s="3">
        <v>7</v>
      </c>
      <c r="E314" s="3">
        <v>1</v>
      </c>
      <c r="F314" s="3">
        <v>1</v>
      </c>
      <c r="G314" s="3">
        <f>SUMIFS($S$2:$S$10,$R$2:$R$10,D314)</f>
        <v>20</v>
      </c>
      <c r="H314" s="3">
        <f>SUMIFS($S$2:$S$10,$R$2:$R$10,E314)</f>
        <v>1</v>
      </c>
      <c r="I314" s="3">
        <f>SUMIFS($S$2:$S$10,$R$2:$R$10,F314)</f>
        <v>1</v>
      </c>
      <c r="J314" s="3">
        <f>SUM(G314:I314)</f>
        <v>22</v>
      </c>
      <c r="K314" s="3">
        <f>SUMIFS($T$2:$T$10,$R$2:$R$10,E314)</f>
        <v>0.13</v>
      </c>
      <c r="L314" s="3">
        <f>SUMIFS($V$2:$V$10,$R$2:$R$10,F314)</f>
        <v>0.01</v>
      </c>
      <c r="M314" s="3">
        <f>SUMIFS($U$2:$U$10,$R$2:$R$10,D314)</f>
        <v>0.11</v>
      </c>
    </row>
    <row r="315" spans="1:13" x14ac:dyDescent="0.25">
      <c r="A315" s="3">
        <f>(A$2+A$2*M315+A$2*L315)*(1+K315)</f>
        <v>607.74719999999991</v>
      </c>
      <c r="B315" s="3">
        <f>(B$2+B$2*M315+B$2*L315)*(1+K315)</f>
        <v>706.89239999999995</v>
      </c>
      <c r="C315" s="3">
        <f>(C$2+C$2*M315+C$2*L315)*(1+K315)</f>
        <v>742.9452</v>
      </c>
      <c r="D315" s="3">
        <v>7</v>
      </c>
      <c r="E315" s="3">
        <v>2</v>
      </c>
      <c r="F315" s="3">
        <v>0</v>
      </c>
      <c r="G315" s="3">
        <f>SUMIFS($S$2:$S$10,$R$2:$R$10,D315)</f>
        <v>20</v>
      </c>
      <c r="H315" s="3">
        <f>SUMIFS($S$2:$S$10,$R$2:$R$10,E315)</f>
        <v>2</v>
      </c>
      <c r="I315" s="3">
        <f>SUMIFS($S$2:$S$10,$R$2:$R$10,F315)</f>
        <v>0</v>
      </c>
      <c r="J315" s="3">
        <f>SUM(G315:I315)</f>
        <v>22</v>
      </c>
      <c r="K315" s="3">
        <f>SUMIFS($T$2:$T$10,$R$2:$R$10,E315)</f>
        <v>0.16</v>
      </c>
      <c r="L315" s="3">
        <f>SUMIFS($V$2:$V$10,$R$2:$R$10,F315)</f>
        <v>0</v>
      </c>
      <c r="M315" s="3">
        <f>SUMIFS($U$2:$U$10,$R$2:$R$10,D315)</f>
        <v>0.11</v>
      </c>
    </row>
    <row r="316" spans="1:13" x14ac:dyDescent="0.25">
      <c r="A316" s="2">
        <f>(A$2+A$2*K316+A$2*M316)*(1+L316)</f>
        <v>641.4008</v>
      </c>
      <c r="B316" s="2">
        <f>(B$2+B$2*K316+B$2*M316)*(1+L316)</f>
        <v>746.03610000000015</v>
      </c>
      <c r="C316" s="2">
        <f>(C$2+C$2*K316+C$2*M316)*(1+L316)</f>
        <v>784.08529999999996</v>
      </c>
      <c r="D316" s="2">
        <v>5</v>
      </c>
      <c r="E316" s="2">
        <v>2</v>
      </c>
      <c r="F316" s="2">
        <v>5</v>
      </c>
      <c r="G316" s="2">
        <f>SUMIFS($S$2:$S$10,$R$2:$R$10,D316)</f>
        <v>10</v>
      </c>
      <c r="H316" s="2">
        <f>SUMIFS($S$2:$S$10,$R$2:$R$10,E316)</f>
        <v>2</v>
      </c>
      <c r="I316" s="2">
        <f>SUMIFS($S$2:$S$10,$R$2:$R$10,F316)</f>
        <v>10</v>
      </c>
      <c r="J316" s="2">
        <f>SUM(G316:I316)</f>
        <v>22</v>
      </c>
      <c r="K316" s="2">
        <f>SUMIFS($U$2:$U$10,$R$2:$R$10,E316)</f>
        <v>0.02</v>
      </c>
      <c r="L316" s="2">
        <f>SUMIFS($T$2:$T$10,$R$2:$R$10,F316)</f>
        <v>0.27</v>
      </c>
      <c r="M316" s="2">
        <f>SUMIFS($V$2:$V$10,$R$2:$R$10,D316)</f>
        <v>0.05</v>
      </c>
    </row>
    <row r="317" spans="1:13" x14ac:dyDescent="0.25">
      <c r="A317" s="2">
        <f>(A$2+A$2*K317+A$2*M317)*(1+L317)</f>
        <v>613.22239999999999</v>
      </c>
      <c r="B317" s="2">
        <f>(B$2+B$2*K317+B$2*M317)*(1+L317)</f>
        <v>713.26080000000013</v>
      </c>
      <c r="C317" s="2">
        <f>(C$2+C$2*K317+C$2*M317)*(1+L317)</f>
        <v>749.63839999999993</v>
      </c>
      <c r="D317" s="2">
        <v>5</v>
      </c>
      <c r="E317" s="2">
        <v>5</v>
      </c>
      <c r="F317" s="2">
        <v>2</v>
      </c>
      <c r="G317" s="2">
        <f>SUMIFS($S$2:$S$10,$R$2:$R$10,D317)</f>
        <v>10</v>
      </c>
      <c r="H317" s="2">
        <f>SUMIFS($S$2:$S$10,$R$2:$R$10,E317)</f>
        <v>10</v>
      </c>
      <c r="I317" s="2">
        <f>SUMIFS($S$2:$S$10,$R$2:$R$10,F317)</f>
        <v>2</v>
      </c>
      <c r="J317" s="2">
        <f>SUM(G317:I317)</f>
        <v>22</v>
      </c>
      <c r="K317" s="2">
        <f>SUMIFS($U$2:$U$10,$R$2:$R$10,E317)</f>
        <v>7.0000000000000007E-2</v>
      </c>
      <c r="L317" s="2">
        <f>SUMIFS($T$2:$T$10,$R$2:$R$10,F317)</f>
        <v>0.16</v>
      </c>
      <c r="M317" s="2">
        <f>SUMIFS($V$2:$V$10,$R$2:$R$10,D317)</f>
        <v>0.05</v>
      </c>
    </row>
    <row r="318" spans="1:13" x14ac:dyDescent="0.25">
      <c r="A318" s="2">
        <f>(A$2+A$2*K318+A$2*M318)*(1+L318)</f>
        <v>610.3904</v>
      </c>
      <c r="B318" s="2">
        <f>(B$2+B$2*K318+B$2*M318)*(1+L318)</f>
        <v>709.96680000000003</v>
      </c>
      <c r="C318" s="2">
        <f>(C$2+C$2*K318+C$2*M318)*(1+L318)</f>
        <v>746.17639999999994</v>
      </c>
      <c r="D318" s="2">
        <v>6</v>
      </c>
      <c r="E318" s="2">
        <v>0</v>
      </c>
      <c r="F318" s="2">
        <v>4</v>
      </c>
      <c r="G318" s="2">
        <f>SUMIFS($S$2:$S$10,$R$2:$R$10,D318)</f>
        <v>15</v>
      </c>
      <c r="H318" s="2">
        <f>SUMIFS($S$2:$S$10,$R$2:$R$10,E318)</f>
        <v>0</v>
      </c>
      <c r="I318" s="2">
        <f>SUMIFS($S$2:$S$10,$R$2:$R$10,F318)</f>
        <v>7</v>
      </c>
      <c r="J318" s="2">
        <f>SUM(G318:I318)</f>
        <v>22</v>
      </c>
      <c r="K318" s="2">
        <f>SUMIFS($U$2:$U$10,$R$2:$R$10,E318)</f>
        <v>0</v>
      </c>
      <c r="L318" s="2">
        <f>SUMIFS($T$2:$T$10,$R$2:$R$10,F318)</f>
        <v>0.22</v>
      </c>
      <c r="M318" s="2">
        <f>SUMIFS($V$2:$V$10,$R$2:$R$10,D318)</f>
        <v>0.06</v>
      </c>
    </row>
    <row r="319" spans="1:13" x14ac:dyDescent="0.25">
      <c r="A319" s="2">
        <f>(A$2+A$2*K319+A$2*M319)*(1+L319)</f>
        <v>523.92000000000007</v>
      </c>
      <c r="B319" s="2">
        <f>(B$2+B$2*K319+B$2*M319)*(1+L319)</f>
        <v>609.3900000000001</v>
      </c>
      <c r="C319" s="2">
        <f>(C$2+C$2*K319+C$2*M319)*(1+L319)</f>
        <v>640.47</v>
      </c>
      <c r="D319" s="2">
        <v>6</v>
      </c>
      <c r="E319" s="2">
        <v>4</v>
      </c>
      <c r="F319" s="2">
        <v>0</v>
      </c>
      <c r="G319" s="2">
        <f>SUMIFS($S$2:$S$10,$R$2:$R$10,D319)</f>
        <v>15</v>
      </c>
      <c r="H319" s="2">
        <f>SUMIFS($S$2:$S$10,$R$2:$R$10,E319)</f>
        <v>7</v>
      </c>
      <c r="I319" s="2">
        <f>SUMIFS($S$2:$S$10,$R$2:$R$10,F319)</f>
        <v>0</v>
      </c>
      <c r="J319" s="2">
        <f>SUM(G319:I319)</f>
        <v>22</v>
      </c>
      <c r="K319" s="2">
        <f>SUMIFS($U$2:$U$10,$R$2:$R$10,E319)</f>
        <v>0.05</v>
      </c>
      <c r="L319" s="2">
        <f>SUMIFS($T$2:$T$10,$R$2:$R$10,F319)</f>
        <v>0</v>
      </c>
      <c r="M319" s="2">
        <f>SUMIFS($V$2:$V$10,$R$2:$R$10,D319)</f>
        <v>0.06</v>
      </c>
    </row>
    <row r="320" spans="1:13" x14ac:dyDescent="0.25">
      <c r="A320" s="2">
        <f>(A$2+A$2*K320+A$2*M320)*(1+L320)</f>
        <v>585.84640000000002</v>
      </c>
      <c r="B320" s="2">
        <f>(B$2+B$2*K320+B$2*M320)*(1+L320)</f>
        <v>681.41880000000003</v>
      </c>
      <c r="C320" s="2">
        <f>(C$2+C$2*K320+C$2*M320)*(1+L320)</f>
        <v>716.17239999999993</v>
      </c>
      <c r="D320" s="2">
        <v>7</v>
      </c>
      <c r="E320" s="2">
        <v>0</v>
      </c>
      <c r="F320" s="2">
        <v>2</v>
      </c>
      <c r="G320" s="2">
        <f>SUMIFS($S$2:$S$10,$R$2:$R$10,D320)</f>
        <v>20</v>
      </c>
      <c r="H320" s="2">
        <f>SUMIFS($S$2:$S$10,$R$2:$R$10,E320)</f>
        <v>0</v>
      </c>
      <c r="I320" s="2">
        <f>SUMIFS($S$2:$S$10,$R$2:$R$10,F320)</f>
        <v>2</v>
      </c>
      <c r="J320" s="2">
        <f>SUM(G320:I320)</f>
        <v>22</v>
      </c>
      <c r="K320" s="2">
        <f>SUMIFS($U$2:$U$10,$R$2:$R$10,E320)</f>
        <v>0</v>
      </c>
      <c r="L320" s="2">
        <f>SUMIFS($T$2:$T$10,$R$2:$R$10,F320)</f>
        <v>0.16</v>
      </c>
      <c r="M320" s="2">
        <f>SUMIFS($V$2:$V$10,$R$2:$R$10,D320)</f>
        <v>7.0000000000000007E-2</v>
      </c>
    </row>
    <row r="321" spans="1:13" x14ac:dyDescent="0.25">
      <c r="A321" s="2">
        <f>(A$2+A$2*K321+A$2*M321)*(1+L321)</f>
        <v>576.02880000000005</v>
      </c>
      <c r="B321" s="2">
        <f>(B$2+B$2*K321+B$2*M321)*(1+L321)</f>
        <v>669.99959999999999</v>
      </c>
      <c r="C321" s="2">
        <f>(C$2+C$2*K321+C$2*M321)*(1+L321)</f>
        <v>704.17079999999987</v>
      </c>
      <c r="D321" s="2">
        <v>7</v>
      </c>
      <c r="E321" s="2">
        <v>1</v>
      </c>
      <c r="F321" s="2">
        <v>1</v>
      </c>
      <c r="G321" s="2">
        <f>SUMIFS($S$2:$S$10,$R$2:$R$10,D321)</f>
        <v>20</v>
      </c>
      <c r="H321" s="2">
        <f>SUMIFS($S$2:$S$10,$R$2:$R$10,E321)</f>
        <v>1</v>
      </c>
      <c r="I321" s="2">
        <f>SUMIFS($S$2:$S$10,$R$2:$R$10,F321)</f>
        <v>1</v>
      </c>
      <c r="J321" s="2">
        <f>SUM(G321:I321)</f>
        <v>22</v>
      </c>
      <c r="K321" s="2">
        <f>SUMIFS($U$2:$U$10,$R$2:$R$10,E321)</f>
        <v>0.01</v>
      </c>
      <c r="L321" s="2">
        <f>SUMIFS($T$2:$T$10,$R$2:$R$10,F321)</f>
        <v>0.13</v>
      </c>
      <c r="M321" s="2">
        <f>SUMIFS($V$2:$V$10,$R$2:$R$10,D321)</f>
        <v>7.0000000000000007E-2</v>
      </c>
    </row>
    <row r="322" spans="1:13" x14ac:dyDescent="0.25">
      <c r="A322" s="2">
        <f>(A$2+A$2*K322+A$2*M322)*(1+L322)</f>
        <v>514.48</v>
      </c>
      <c r="B322" s="2">
        <f>(B$2+B$2*K322+B$2*M322)*(1+L322)</f>
        <v>598.41000000000008</v>
      </c>
      <c r="C322" s="2">
        <f>(C$2+C$2*K322+C$2*M322)*(1+L322)</f>
        <v>628.92999999999995</v>
      </c>
      <c r="D322" s="2">
        <v>7</v>
      </c>
      <c r="E322" s="2">
        <v>2</v>
      </c>
      <c r="F322" s="2">
        <v>0</v>
      </c>
      <c r="G322" s="2">
        <f>SUMIFS($S$2:$S$10,$R$2:$R$10,D322)</f>
        <v>20</v>
      </c>
      <c r="H322" s="2">
        <f>SUMIFS($S$2:$S$10,$R$2:$R$10,E322)</f>
        <v>2</v>
      </c>
      <c r="I322" s="2">
        <f>SUMIFS($S$2:$S$10,$R$2:$R$10,F322)</f>
        <v>0</v>
      </c>
      <c r="J322" s="2">
        <f>SUM(G322:I322)</f>
        <v>22</v>
      </c>
      <c r="K322" s="2">
        <f>SUMIFS($U$2:$U$10,$R$2:$R$10,E322)</f>
        <v>0.02</v>
      </c>
      <c r="L322" s="2">
        <f>SUMIFS($T$2:$T$10,$R$2:$R$10,F322)</f>
        <v>0</v>
      </c>
      <c r="M322" s="2">
        <f>SUMIFS($V$2:$V$10,$R$2:$R$10,D322)</f>
        <v>7.0000000000000007E-2</v>
      </c>
    </row>
    <row r="323" spans="1:13" x14ac:dyDescent="0.25">
      <c r="A323" s="1">
        <f>(A$2+A$2*K323+A$2*L323)*(1+M323)</f>
        <v>654.19200000000001</v>
      </c>
      <c r="B323" s="1">
        <f>(B$2+B$2*K323+B$2*L323)*(1+M323)</f>
        <v>760.9140000000001</v>
      </c>
      <c r="C323" s="1">
        <f>(C$2+C$2*K323+C$2*L323)*(1+M323)</f>
        <v>799.72200000000009</v>
      </c>
      <c r="D323" s="1">
        <v>6</v>
      </c>
      <c r="E323" s="1">
        <v>1</v>
      </c>
      <c r="F323" s="1">
        <v>4</v>
      </c>
      <c r="G323" s="1">
        <f>SUMIFS($S$2:$S$10,$R$2:$R$10,D323)</f>
        <v>15</v>
      </c>
      <c r="H323" s="1">
        <f>SUMIFS($S$2:$S$10,$R$2:$R$10,E323)</f>
        <v>1</v>
      </c>
      <c r="I323" s="1">
        <f>SUMIFS($S$2:$S$10,$R$2:$R$10,F323)</f>
        <v>7</v>
      </c>
      <c r="J323" s="1">
        <f>SUM(G323:I323)</f>
        <v>23</v>
      </c>
      <c r="K323" s="1">
        <f>SUMIFS($U$2:$U$10,$R$2:$R$10,E323)</f>
        <v>0.01</v>
      </c>
      <c r="L323" s="1">
        <f>SUMIFS($V$2:$V$10,$R$2:$R$10,F323)</f>
        <v>0.04</v>
      </c>
      <c r="M323" s="1">
        <f>SUMIFS($T$2:$T$10,$R$2:$R$10,D323)</f>
        <v>0.32</v>
      </c>
    </row>
    <row r="324" spans="1:13" x14ac:dyDescent="0.25">
      <c r="A324" s="1">
        <f>(A$2+A$2*K324+A$2*L324)*(1+M324)</f>
        <v>660.42240000000015</v>
      </c>
      <c r="B324" s="1">
        <f>(B$2+B$2*K324+B$2*L324)*(1+M324)</f>
        <v>768.16080000000011</v>
      </c>
      <c r="C324" s="1">
        <f>(C$2+C$2*K324+C$2*L324)*(1+M324)</f>
        <v>807.33839999999987</v>
      </c>
      <c r="D324" s="1">
        <v>6</v>
      </c>
      <c r="E324" s="1">
        <v>3</v>
      </c>
      <c r="F324" s="1">
        <v>3</v>
      </c>
      <c r="G324" s="1">
        <f>SUMIFS($S$2:$S$10,$R$2:$R$10,D324)</f>
        <v>15</v>
      </c>
      <c r="H324" s="1">
        <f>SUMIFS($S$2:$S$10,$R$2:$R$10,E324)</f>
        <v>4</v>
      </c>
      <c r="I324" s="1">
        <f>SUMIFS($S$2:$S$10,$R$2:$R$10,F324)</f>
        <v>4</v>
      </c>
      <c r="J324" s="1">
        <f>SUM(G324:I324)</f>
        <v>23</v>
      </c>
      <c r="K324" s="1">
        <f>SUMIFS($U$2:$U$10,$R$2:$R$10,E324)</f>
        <v>0.03</v>
      </c>
      <c r="L324" s="1">
        <f>SUMIFS($V$2:$V$10,$R$2:$R$10,F324)</f>
        <v>0.03</v>
      </c>
      <c r="M324" s="1">
        <f>SUMIFS($T$2:$T$10,$R$2:$R$10,D324)</f>
        <v>0.32</v>
      </c>
    </row>
    <row r="325" spans="1:13" x14ac:dyDescent="0.25">
      <c r="A325" s="1">
        <f>(A$2+A$2*K325+A$2*L325)*(1+M325)</f>
        <v>660.42240000000015</v>
      </c>
      <c r="B325" s="1">
        <f>(B$2+B$2*K325+B$2*L325)*(1+M325)</f>
        <v>768.16080000000011</v>
      </c>
      <c r="C325" s="1">
        <f>(C$2+C$2*K325+C$2*L325)*(1+M325)</f>
        <v>807.33840000000009</v>
      </c>
      <c r="D325" s="1">
        <v>6</v>
      </c>
      <c r="E325" s="1">
        <v>4</v>
      </c>
      <c r="F325" s="1">
        <v>1</v>
      </c>
      <c r="G325" s="1">
        <f>SUMIFS($S$2:$S$10,$R$2:$R$10,D325)</f>
        <v>15</v>
      </c>
      <c r="H325" s="1">
        <f>SUMIFS($S$2:$S$10,$R$2:$R$10,E325)</f>
        <v>7</v>
      </c>
      <c r="I325" s="1">
        <f>SUMIFS($S$2:$S$10,$R$2:$R$10,F325)</f>
        <v>1</v>
      </c>
      <c r="J325" s="1">
        <f>SUM(G325:I325)</f>
        <v>23</v>
      </c>
      <c r="K325" s="1">
        <f>SUMIFS($U$2:$U$10,$R$2:$R$10,E325)</f>
        <v>0.05</v>
      </c>
      <c r="L325" s="1">
        <f>SUMIFS($V$2:$V$10,$R$2:$R$10,F325)</f>
        <v>0.01</v>
      </c>
      <c r="M325" s="1">
        <f>SUMIFS($T$2:$T$10,$R$2:$R$10,D325)</f>
        <v>0.32</v>
      </c>
    </row>
    <row r="326" spans="1:13" x14ac:dyDescent="0.25">
      <c r="A326" s="1">
        <f>(A$2+A$2*K326+A$2*L326)*(1+M326)</f>
        <v>666.03920000000005</v>
      </c>
      <c r="B326" s="1">
        <f>(B$2+B$2*K326+B$2*L326)*(1+M326)</f>
        <v>774.6939000000001</v>
      </c>
      <c r="C326" s="1">
        <f>(C$2+C$2*K326+C$2*L326)*(1+M326)</f>
        <v>814.2047</v>
      </c>
      <c r="D326" s="1">
        <v>7</v>
      </c>
      <c r="E326" s="1">
        <v>1</v>
      </c>
      <c r="F326" s="1">
        <v>2</v>
      </c>
      <c r="G326" s="1">
        <f>SUMIFS($S$2:$S$10,$R$2:$R$10,D326)</f>
        <v>20</v>
      </c>
      <c r="H326" s="1">
        <f>SUMIFS($S$2:$S$10,$R$2:$R$10,E326)</f>
        <v>1</v>
      </c>
      <c r="I326" s="1">
        <f>SUMIFS($S$2:$S$10,$R$2:$R$10,F326)</f>
        <v>2</v>
      </c>
      <c r="J326" s="1">
        <f>SUM(G326:I326)</f>
        <v>23</v>
      </c>
      <c r="K326" s="1">
        <f>SUMIFS($U$2:$U$10,$R$2:$R$10,E326)</f>
        <v>0.01</v>
      </c>
      <c r="L326" s="1">
        <f>SUMIFS($V$2:$V$10,$R$2:$R$10,F326)</f>
        <v>0.02</v>
      </c>
      <c r="M326" s="1">
        <f>SUMIFS($T$2:$T$10,$R$2:$R$10,D326)</f>
        <v>0.37</v>
      </c>
    </row>
    <row r="327" spans="1:13" x14ac:dyDescent="0.25">
      <c r="A327" s="1">
        <f>(A$2+A$2*K327+A$2*L327)*(1+M327)</f>
        <v>666.03920000000005</v>
      </c>
      <c r="B327" s="1">
        <f>(B$2+B$2*K327+B$2*L327)*(1+M327)</f>
        <v>774.6939000000001</v>
      </c>
      <c r="C327" s="1">
        <f>(C$2+C$2*K327+C$2*L327)*(1+M327)</f>
        <v>814.2047</v>
      </c>
      <c r="D327" s="1">
        <v>7</v>
      </c>
      <c r="E327" s="1">
        <v>2</v>
      </c>
      <c r="F327" s="1">
        <v>1</v>
      </c>
      <c r="G327" s="1">
        <f>SUMIFS($S$2:$S$10,$R$2:$R$10,D327)</f>
        <v>20</v>
      </c>
      <c r="H327" s="1">
        <f>SUMIFS($S$2:$S$10,$R$2:$R$10,E327)</f>
        <v>2</v>
      </c>
      <c r="I327" s="1">
        <f>SUMIFS($S$2:$S$10,$R$2:$R$10,F327)</f>
        <v>1</v>
      </c>
      <c r="J327" s="1">
        <f>SUM(G327:I327)</f>
        <v>23</v>
      </c>
      <c r="K327" s="1">
        <f>SUMIFS($U$2:$U$10,$R$2:$R$10,E327)</f>
        <v>0.02</v>
      </c>
      <c r="L327" s="1">
        <f>SUMIFS($V$2:$V$10,$R$2:$R$10,F327)</f>
        <v>0.01</v>
      </c>
      <c r="M327" s="1">
        <f>SUMIFS($T$2:$T$10,$R$2:$R$10,D327)</f>
        <v>0.37</v>
      </c>
    </row>
    <row r="328" spans="1:13" x14ac:dyDescent="0.25">
      <c r="A328" s="3">
        <f>(A$2+A$2*M328+A$2*L328)*(1+K328)</f>
        <v>602.69679999999994</v>
      </c>
      <c r="B328" s="3">
        <f>(B$2+B$2*M328+B$2*L328)*(1+K328)</f>
        <v>701.01809999999989</v>
      </c>
      <c r="C328" s="3">
        <f>(C$2+C$2*M328+C$2*L328)*(1+K328)</f>
        <v>736.77129999999988</v>
      </c>
      <c r="D328" s="3">
        <v>6</v>
      </c>
      <c r="E328" s="3">
        <v>1</v>
      </c>
      <c r="F328" s="3">
        <v>4</v>
      </c>
      <c r="G328" s="3">
        <f>SUMIFS($S$2:$S$10,$R$2:$R$10,D328)</f>
        <v>15</v>
      </c>
      <c r="H328" s="3">
        <f>SUMIFS($S$2:$S$10,$R$2:$R$10,E328)</f>
        <v>1</v>
      </c>
      <c r="I328" s="3">
        <f>SUMIFS($S$2:$S$10,$R$2:$R$10,F328)</f>
        <v>7</v>
      </c>
      <c r="J328" s="3">
        <f>SUM(G328:I328)</f>
        <v>23</v>
      </c>
      <c r="K328" s="3">
        <f>SUMIFS($T$2:$T$10,$R$2:$R$10,E328)</f>
        <v>0.13</v>
      </c>
      <c r="L328" s="3">
        <f>SUMIFS($V$2:$V$10,$R$2:$R$10,F328)</f>
        <v>0.04</v>
      </c>
      <c r="M328" s="3">
        <f>SUMIFS($U$2:$U$10,$R$2:$R$10,D328)</f>
        <v>0.09</v>
      </c>
    </row>
    <row r="329" spans="1:13" x14ac:dyDescent="0.25">
      <c r="A329" s="3">
        <f>(A$2+A$2*M329+A$2*L329)*(1+K329)</f>
        <v>629.08159999999998</v>
      </c>
      <c r="B329" s="3">
        <f>(B$2+B$2*M329+B$2*L329)*(1+K329)</f>
        <v>731.70719999999994</v>
      </c>
      <c r="C329" s="3">
        <f>(C$2+C$2*M329+C$2*L329)*(1+K329)</f>
        <v>769.02559999999983</v>
      </c>
      <c r="D329" s="3">
        <v>6</v>
      </c>
      <c r="E329" s="3">
        <v>3</v>
      </c>
      <c r="F329" s="3">
        <v>3</v>
      </c>
      <c r="G329" s="3">
        <f>SUMIFS($S$2:$S$10,$R$2:$R$10,D329)</f>
        <v>15</v>
      </c>
      <c r="H329" s="3">
        <f>SUMIFS($S$2:$S$10,$R$2:$R$10,E329)</f>
        <v>4</v>
      </c>
      <c r="I329" s="3">
        <f>SUMIFS($S$2:$S$10,$R$2:$R$10,F329)</f>
        <v>4</v>
      </c>
      <c r="J329" s="3">
        <f>SUM(G329:I329)</f>
        <v>23</v>
      </c>
      <c r="K329" s="3">
        <f>SUMIFS($T$2:$T$10,$R$2:$R$10,E329)</f>
        <v>0.19</v>
      </c>
      <c r="L329" s="3">
        <f>SUMIFS($V$2:$V$10,$R$2:$R$10,F329)</f>
        <v>0.03</v>
      </c>
      <c r="M329" s="3">
        <f>SUMIFS($U$2:$U$10,$R$2:$R$10,D329)</f>
        <v>0.09</v>
      </c>
    </row>
    <row r="330" spans="1:13" x14ac:dyDescent="0.25">
      <c r="A330" s="3">
        <f>(A$2+A$2*M330+A$2*L330)*(1+K330)</f>
        <v>633.42400000000009</v>
      </c>
      <c r="B330" s="3">
        <f>(B$2+B$2*M330+B$2*L330)*(1+K330)</f>
        <v>736.75799999999992</v>
      </c>
      <c r="C330" s="3">
        <f>(C$2+C$2*M330+C$2*L330)*(1+K330)</f>
        <v>774.33399999999995</v>
      </c>
      <c r="D330" s="3">
        <v>6</v>
      </c>
      <c r="E330" s="3">
        <v>4</v>
      </c>
      <c r="F330" s="3">
        <v>1</v>
      </c>
      <c r="G330" s="3">
        <f>SUMIFS($S$2:$S$10,$R$2:$R$10,D330)</f>
        <v>15</v>
      </c>
      <c r="H330" s="3">
        <f>SUMIFS($S$2:$S$10,$R$2:$R$10,E330)</f>
        <v>7</v>
      </c>
      <c r="I330" s="3">
        <f>SUMIFS($S$2:$S$10,$R$2:$R$10,F330)</f>
        <v>1</v>
      </c>
      <c r="J330" s="3">
        <f>SUM(G330:I330)</f>
        <v>23</v>
      </c>
      <c r="K330" s="3">
        <f>SUMIFS($T$2:$T$10,$R$2:$R$10,E330)</f>
        <v>0.22</v>
      </c>
      <c r="L330" s="3">
        <f>SUMIFS($V$2:$V$10,$R$2:$R$10,F330)</f>
        <v>0.01</v>
      </c>
      <c r="M330" s="3">
        <f>SUMIFS($U$2:$U$10,$R$2:$R$10,D330)</f>
        <v>0.09</v>
      </c>
    </row>
    <row r="331" spans="1:13" x14ac:dyDescent="0.25">
      <c r="A331" s="3">
        <f>(A$2+A$2*M331+A$2*L331)*(1+K331)</f>
        <v>602.69679999999994</v>
      </c>
      <c r="B331" s="3">
        <f>(B$2+B$2*M331+B$2*L331)*(1+K331)</f>
        <v>701.01809999999989</v>
      </c>
      <c r="C331" s="3">
        <f>(C$2+C$2*M331+C$2*L331)*(1+K331)</f>
        <v>736.77129999999988</v>
      </c>
      <c r="D331" s="3">
        <v>7</v>
      </c>
      <c r="E331" s="3">
        <v>1</v>
      </c>
      <c r="F331" s="3">
        <v>2</v>
      </c>
      <c r="G331" s="3">
        <f>SUMIFS($S$2:$S$10,$R$2:$R$10,D331)</f>
        <v>20</v>
      </c>
      <c r="H331" s="3">
        <f>SUMIFS($S$2:$S$10,$R$2:$R$10,E331)</f>
        <v>1</v>
      </c>
      <c r="I331" s="3">
        <f>SUMIFS($S$2:$S$10,$R$2:$R$10,F331)</f>
        <v>2</v>
      </c>
      <c r="J331" s="3">
        <f>SUM(G331:I331)</f>
        <v>23</v>
      </c>
      <c r="K331" s="3">
        <f>SUMIFS($T$2:$T$10,$R$2:$R$10,E331)</f>
        <v>0.13</v>
      </c>
      <c r="L331" s="3">
        <f>SUMIFS($V$2:$V$10,$R$2:$R$10,F331)</f>
        <v>0.02</v>
      </c>
      <c r="M331" s="3">
        <f>SUMIFS($U$2:$U$10,$R$2:$R$10,D331)</f>
        <v>0.11</v>
      </c>
    </row>
    <row r="332" spans="1:13" x14ac:dyDescent="0.25">
      <c r="A332" s="3">
        <f>(A$2+A$2*M332+A$2*L332)*(1+K332)</f>
        <v>613.22239999999999</v>
      </c>
      <c r="B332" s="3">
        <f>(B$2+B$2*M332+B$2*L332)*(1+K332)</f>
        <v>713.2607999999999</v>
      </c>
      <c r="C332" s="3">
        <f>(C$2+C$2*M332+C$2*L332)*(1+K332)</f>
        <v>749.63839999999993</v>
      </c>
      <c r="D332" s="3">
        <v>7</v>
      </c>
      <c r="E332" s="3">
        <v>2</v>
      </c>
      <c r="F332" s="3">
        <v>1</v>
      </c>
      <c r="G332" s="3">
        <f>SUMIFS($S$2:$S$10,$R$2:$R$10,D332)</f>
        <v>20</v>
      </c>
      <c r="H332" s="3">
        <f>SUMIFS($S$2:$S$10,$R$2:$R$10,E332)</f>
        <v>2</v>
      </c>
      <c r="I332" s="3">
        <f>SUMIFS($S$2:$S$10,$R$2:$R$10,F332)</f>
        <v>1</v>
      </c>
      <c r="J332" s="3">
        <f>SUM(G332:I332)</f>
        <v>23</v>
      </c>
      <c r="K332" s="3">
        <f>SUMIFS($T$2:$T$10,$R$2:$R$10,E332)</f>
        <v>0.16</v>
      </c>
      <c r="L332" s="3">
        <f>SUMIFS($V$2:$V$10,$R$2:$R$10,F332)</f>
        <v>0.01</v>
      </c>
      <c r="M332" s="3">
        <f>SUMIFS($U$2:$U$10,$R$2:$R$10,D332)</f>
        <v>0.11</v>
      </c>
    </row>
    <row r="333" spans="1:13" x14ac:dyDescent="0.25">
      <c r="A333" s="2">
        <f>(A$2+A$2*K333+A$2*M333)*(1+L333)</f>
        <v>616.14880000000005</v>
      </c>
      <c r="B333" s="2">
        <f>(B$2+B$2*K333+B$2*M333)*(1+L333)</f>
        <v>716.66460000000006</v>
      </c>
      <c r="C333" s="2">
        <f>(C$2+C$2*K333+C$2*M333)*(1+L333)</f>
        <v>753.21579999999994</v>
      </c>
      <c r="D333" s="2">
        <v>6</v>
      </c>
      <c r="E333" s="2">
        <v>1</v>
      </c>
      <c r="F333" s="2">
        <v>4</v>
      </c>
      <c r="G333" s="2">
        <f>SUMIFS($S$2:$S$10,$R$2:$R$10,D333)</f>
        <v>15</v>
      </c>
      <c r="H333" s="2">
        <f>SUMIFS($S$2:$S$10,$R$2:$R$10,E333)</f>
        <v>1</v>
      </c>
      <c r="I333" s="2">
        <f>SUMIFS($S$2:$S$10,$R$2:$R$10,F333)</f>
        <v>7</v>
      </c>
      <c r="J333" s="2">
        <f>SUM(G333:I333)</f>
        <v>23</v>
      </c>
      <c r="K333" s="2">
        <f>SUMIFS($U$2:$U$10,$R$2:$R$10,E333)</f>
        <v>0.01</v>
      </c>
      <c r="L333" s="2">
        <f>SUMIFS($T$2:$T$10,$R$2:$R$10,F333)</f>
        <v>0.22</v>
      </c>
      <c r="M333" s="2">
        <f>SUMIFS($V$2:$V$10,$R$2:$R$10,D333)</f>
        <v>0.06</v>
      </c>
    </row>
    <row r="334" spans="1:13" x14ac:dyDescent="0.25">
      <c r="A334" s="2">
        <f>(A$2+A$2*K334+A$2*M334)*(1+L334)</f>
        <v>612.23119999999994</v>
      </c>
      <c r="B334" s="2">
        <f>(B$2+B$2*K334+B$2*M334)*(1+L334)</f>
        <v>712.10790000000009</v>
      </c>
      <c r="C334" s="2">
        <f>(C$2+C$2*K334+C$2*M334)*(1+L334)</f>
        <v>748.42669999999987</v>
      </c>
      <c r="D334" s="2">
        <v>6</v>
      </c>
      <c r="E334" s="2">
        <v>3</v>
      </c>
      <c r="F334" s="2">
        <v>3</v>
      </c>
      <c r="G334" s="2">
        <f>SUMIFS($S$2:$S$10,$R$2:$R$10,D334)</f>
        <v>15</v>
      </c>
      <c r="H334" s="2">
        <f>SUMIFS($S$2:$S$10,$R$2:$R$10,E334)</f>
        <v>4</v>
      </c>
      <c r="I334" s="2">
        <f>SUMIFS($S$2:$S$10,$R$2:$R$10,F334)</f>
        <v>4</v>
      </c>
      <c r="J334" s="2">
        <f>SUM(G334:I334)</f>
        <v>23</v>
      </c>
      <c r="K334" s="2">
        <f>SUMIFS($U$2:$U$10,$R$2:$R$10,E334)</f>
        <v>0.03</v>
      </c>
      <c r="L334" s="2">
        <f>SUMIFS($T$2:$T$10,$R$2:$R$10,F334)</f>
        <v>0.19</v>
      </c>
      <c r="M334" s="2">
        <f>SUMIFS($V$2:$V$10,$R$2:$R$10,D334)</f>
        <v>0.06</v>
      </c>
    </row>
    <row r="335" spans="1:13" x14ac:dyDescent="0.25">
      <c r="A335" s="2">
        <f>(A$2+A$2*K335+A$2*M335)*(1+L335)</f>
        <v>592.02960000000007</v>
      </c>
      <c r="B335" s="2">
        <f>(B$2+B$2*K335+B$2*M335)*(1+L335)</f>
        <v>688.61070000000007</v>
      </c>
      <c r="C335" s="2">
        <f>(C$2+C$2*K335+C$2*M335)*(1+L335)</f>
        <v>723.73109999999997</v>
      </c>
      <c r="D335" s="2">
        <v>6</v>
      </c>
      <c r="E335" s="2">
        <v>4</v>
      </c>
      <c r="F335" s="2">
        <v>1</v>
      </c>
      <c r="G335" s="2">
        <f>SUMIFS($S$2:$S$10,$R$2:$R$10,D335)</f>
        <v>15</v>
      </c>
      <c r="H335" s="2">
        <f>SUMIFS($S$2:$S$10,$R$2:$R$10,E335)</f>
        <v>7</v>
      </c>
      <c r="I335" s="2">
        <f>SUMIFS($S$2:$S$10,$R$2:$R$10,F335)</f>
        <v>1</v>
      </c>
      <c r="J335" s="2">
        <f>SUM(G335:I335)</f>
        <v>23</v>
      </c>
      <c r="K335" s="2">
        <f>SUMIFS($U$2:$U$10,$R$2:$R$10,E335)</f>
        <v>0.05</v>
      </c>
      <c r="L335" s="2">
        <f>SUMIFS($T$2:$T$10,$R$2:$R$10,F335)</f>
        <v>0.13</v>
      </c>
      <c r="M335" s="2">
        <f>SUMIFS($V$2:$V$10,$R$2:$R$10,D335)</f>
        <v>0.06</v>
      </c>
    </row>
    <row r="336" spans="1:13" x14ac:dyDescent="0.25">
      <c r="A336" s="2">
        <f>(A$2+A$2*K336+A$2*M336)*(1+L336)</f>
        <v>591.32159999999999</v>
      </c>
      <c r="B336" s="2">
        <f>(B$2+B$2*K336+B$2*M336)*(1+L336)</f>
        <v>687.78719999999998</v>
      </c>
      <c r="C336" s="2">
        <f>(C$2+C$2*K336+C$2*M336)*(1+L336)</f>
        <v>722.86559999999986</v>
      </c>
      <c r="D336" s="2">
        <v>7</v>
      </c>
      <c r="E336" s="2">
        <v>1</v>
      </c>
      <c r="F336" s="2">
        <v>2</v>
      </c>
      <c r="G336" s="2">
        <f>SUMIFS($S$2:$S$10,$R$2:$R$10,D336)</f>
        <v>20</v>
      </c>
      <c r="H336" s="2">
        <f>SUMIFS($S$2:$S$10,$R$2:$R$10,E336)</f>
        <v>1</v>
      </c>
      <c r="I336" s="2">
        <f>SUMIFS($S$2:$S$10,$R$2:$R$10,F336)</f>
        <v>2</v>
      </c>
      <c r="J336" s="2">
        <f>SUM(G336:I336)</f>
        <v>23</v>
      </c>
      <c r="K336" s="2">
        <f>SUMIFS($U$2:$U$10,$R$2:$R$10,E336)</f>
        <v>0.01</v>
      </c>
      <c r="L336" s="2">
        <f>SUMIFS($T$2:$T$10,$R$2:$R$10,F336)</f>
        <v>0.16</v>
      </c>
      <c r="M336" s="2">
        <f>SUMIFS($V$2:$V$10,$R$2:$R$10,D336)</f>
        <v>7.0000000000000007E-2</v>
      </c>
    </row>
    <row r="337" spans="1:13" x14ac:dyDescent="0.25">
      <c r="A337" s="2">
        <f>(A$2+A$2*K337+A$2*M337)*(1+L337)</f>
        <v>581.36239999999998</v>
      </c>
      <c r="B337" s="2">
        <f>(B$2+B$2*K337+B$2*M337)*(1+L337)</f>
        <v>676.20330000000001</v>
      </c>
      <c r="C337" s="2">
        <f>(C$2+C$2*K337+C$2*M337)*(1+L337)</f>
        <v>710.69089999999983</v>
      </c>
      <c r="D337" s="2">
        <v>7</v>
      </c>
      <c r="E337" s="2">
        <v>2</v>
      </c>
      <c r="F337" s="2">
        <v>1</v>
      </c>
      <c r="G337" s="2">
        <f>SUMIFS($S$2:$S$10,$R$2:$R$10,D337)</f>
        <v>20</v>
      </c>
      <c r="H337" s="2">
        <f>SUMIFS($S$2:$S$10,$R$2:$R$10,E337)</f>
        <v>2</v>
      </c>
      <c r="I337" s="2">
        <f>SUMIFS($S$2:$S$10,$R$2:$R$10,F337)</f>
        <v>1</v>
      </c>
      <c r="J337" s="2">
        <f>SUM(G337:I337)</f>
        <v>23</v>
      </c>
      <c r="K337" s="2">
        <f>SUMIFS($U$2:$U$10,$R$2:$R$10,E337)</f>
        <v>0.02</v>
      </c>
      <c r="L337" s="2">
        <f>SUMIFS($T$2:$T$10,$R$2:$R$10,F337)</f>
        <v>0.13</v>
      </c>
      <c r="M337" s="2">
        <f>SUMIFS($V$2:$V$10,$R$2:$R$10,D337)</f>
        <v>7.0000000000000007E-2</v>
      </c>
    </row>
    <row r="338" spans="1:13" x14ac:dyDescent="0.25">
      <c r="A338" s="1">
        <f>(A$2+A$2*K338+A$2*L338)*(1+M338)</f>
        <v>647.39520000000005</v>
      </c>
      <c r="B338" s="1">
        <f>(B$2+B$2*K338+B$2*L338)*(1+M338)</f>
        <v>753.00840000000005</v>
      </c>
      <c r="C338" s="1">
        <f>(C$2+C$2*K338+C$2*L338)*(1+M338)</f>
        <v>791.41319999999996</v>
      </c>
      <c r="D338" s="1">
        <v>5</v>
      </c>
      <c r="E338" s="1">
        <v>3</v>
      </c>
      <c r="F338" s="1">
        <v>5</v>
      </c>
      <c r="G338" s="1">
        <f>SUMIFS($S$2:$S$10,$R$2:$R$10,D338)</f>
        <v>10</v>
      </c>
      <c r="H338" s="1">
        <f>SUMIFS($S$2:$S$10,$R$2:$R$10,E338)</f>
        <v>4</v>
      </c>
      <c r="I338" s="1">
        <f>SUMIFS($S$2:$S$10,$R$2:$R$10,F338)</f>
        <v>10</v>
      </c>
      <c r="J338" s="1">
        <f>SUM(G338:I338)</f>
        <v>24</v>
      </c>
      <c r="K338" s="1">
        <f>SUMIFS($U$2:$U$10,$R$2:$R$10,E338)</f>
        <v>0.03</v>
      </c>
      <c r="L338" s="1">
        <f>SUMIFS($V$2:$V$10,$R$2:$R$10,F338)</f>
        <v>0.05</v>
      </c>
      <c r="M338" s="1">
        <f>SUMIFS($T$2:$T$10,$R$2:$R$10,D338)</f>
        <v>0.27</v>
      </c>
    </row>
    <row r="339" spans="1:13" x14ac:dyDescent="0.25">
      <c r="A339" s="1">
        <f>(A$2+A$2*K339+A$2*L339)*(1+M339)</f>
        <v>653.38960000000009</v>
      </c>
      <c r="B339" s="1">
        <f>(B$2+B$2*K339+B$2*L339)*(1+M339)</f>
        <v>759.98070000000007</v>
      </c>
      <c r="C339" s="1">
        <f>(C$2+C$2*K339+C$2*L339)*(1+M339)</f>
        <v>798.74110000000007</v>
      </c>
      <c r="D339" s="1">
        <v>5</v>
      </c>
      <c r="E339" s="1">
        <v>4</v>
      </c>
      <c r="F339" s="1">
        <v>4</v>
      </c>
      <c r="G339" s="1">
        <f>SUMIFS($S$2:$S$10,$R$2:$R$10,D339)</f>
        <v>10</v>
      </c>
      <c r="H339" s="1">
        <f>SUMIFS($S$2:$S$10,$R$2:$R$10,E339)</f>
        <v>7</v>
      </c>
      <c r="I339" s="1">
        <f>SUMIFS($S$2:$S$10,$R$2:$R$10,F339)</f>
        <v>7</v>
      </c>
      <c r="J339" s="1">
        <f>SUM(G339:I339)</f>
        <v>24</v>
      </c>
      <c r="K339" s="1">
        <f>SUMIFS($U$2:$U$10,$R$2:$R$10,E339)</f>
        <v>0.05</v>
      </c>
      <c r="L339" s="1">
        <f>SUMIFS($V$2:$V$10,$R$2:$R$10,F339)</f>
        <v>0.04</v>
      </c>
      <c r="M339" s="1">
        <f>SUMIFS($T$2:$T$10,$R$2:$R$10,D339)</f>
        <v>0.27</v>
      </c>
    </row>
    <row r="340" spans="1:13" x14ac:dyDescent="0.25">
      <c r="A340" s="1">
        <f>(A$2+A$2*K340+A$2*L340)*(1+M340)</f>
        <v>659.38400000000001</v>
      </c>
      <c r="B340" s="1">
        <f>(B$2+B$2*K340+B$2*L340)*(1+M340)</f>
        <v>766.95300000000009</v>
      </c>
      <c r="C340" s="1">
        <f>(C$2+C$2*K340+C$2*L340)*(1+M340)</f>
        <v>806.06899999999996</v>
      </c>
      <c r="D340" s="1">
        <v>5</v>
      </c>
      <c r="E340" s="1">
        <v>5</v>
      </c>
      <c r="F340" s="1">
        <v>3</v>
      </c>
      <c r="G340" s="1">
        <f>SUMIFS($S$2:$S$10,$R$2:$R$10,D340)</f>
        <v>10</v>
      </c>
      <c r="H340" s="1">
        <f>SUMIFS($S$2:$S$10,$R$2:$R$10,E340)</f>
        <v>10</v>
      </c>
      <c r="I340" s="1">
        <f>SUMIFS($S$2:$S$10,$R$2:$R$10,F340)</f>
        <v>4</v>
      </c>
      <c r="J340" s="1">
        <f>SUM(G340:I340)</f>
        <v>24</v>
      </c>
      <c r="K340" s="1">
        <f>SUMIFS($U$2:$U$10,$R$2:$R$10,E340)</f>
        <v>7.0000000000000007E-2</v>
      </c>
      <c r="L340" s="1">
        <f>SUMIFS($V$2:$V$10,$R$2:$R$10,F340)</f>
        <v>0.03</v>
      </c>
      <c r="M340" s="1">
        <f>SUMIFS($T$2:$T$10,$R$2:$R$10,D340)</f>
        <v>0.27</v>
      </c>
    </row>
    <row r="341" spans="1:13" x14ac:dyDescent="0.25">
      <c r="A341" s="1">
        <f>(A$2+A$2*K341+A$2*L341)*(1+M341)</f>
        <v>660.42240000000004</v>
      </c>
      <c r="B341" s="1">
        <f>(B$2+B$2*K341+B$2*L341)*(1+M341)</f>
        <v>768.16080000000011</v>
      </c>
      <c r="C341" s="1">
        <f>(C$2+C$2*K341+C$2*L341)*(1+M341)</f>
        <v>807.33840000000009</v>
      </c>
      <c r="D341" s="1">
        <v>6</v>
      </c>
      <c r="E341" s="1">
        <v>2</v>
      </c>
      <c r="F341" s="1">
        <v>4</v>
      </c>
      <c r="G341" s="1">
        <f>SUMIFS($S$2:$S$10,$R$2:$R$10,D341)</f>
        <v>15</v>
      </c>
      <c r="H341" s="1">
        <f>SUMIFS($S$2:$S$10,$R$2:$R$10,E341)</f>
        <v>2</v>
      </c>
      <c r="I341" s="1">
        <f>SUMIFS($S$2:$S$10,$R$2:$R$10,F341)</f>
        <v>7</v>
      </c>
      <c r="J341" s="1">
        <f>SUM(G341:I341)</f>
        <v>24</v>
      </c>
      <c r="K341" s="1">
        <f>SUMIFS($U$2:$U$10,$R$2:$R$10,E341)</f>
        <v>0.02</v>
      </c>
      <c r="L341" s="1">
        <f>SUMIFS($V$2:$V$10,$R$2:$R$10,F341)</f>
        <v>0.04</v>
      </c>
      <c r="M341" s="1">
        <f>SUMIFS($T$2:$T$10,$R$2:$R$10,D341)</f>
        <v>0.32</v>
      </c>
    </row>
    <row r="342" spans="1:13" x14ac:dyDescent="0.25">
      <c r="A342" s="1">
        <f>(A$2+A$2*K342+A$2*L342)*(1+M342)</f>
        <v>666.65280000000007</v>
      </c>
      <c r="B342" s="1">
        <f>(B$2+B$2*K342+B$2*L342)*(1+M342)</f>
        <v>775.40760000000012</v>
      </c>
      <c r="C342" s="1">
        <f>(C$2+C$2*K342+C$2*L342)*(1+M342)</f>
        <v>814.95479999999998</v>
      </c>
      <c r="D342" s="1">
        <v>6</v>
      </c>
      <c r="E342" s="1">
        <v>4</v>
      </c>
      <c r="F342" s="1">
        <v>2</v>
      </c>
      <c r="G342" s="1">
        <f>SUMIFS($S$2:$S$10,$R$2:$R$10,D342)</f>
        <v>15</v>
      </c>
      <c r="H342" s="1">
        <f>SUMIFS($S$2:$S$10,$R$2:$R$10,E342)</f>
        <v>7</v>
      </c>
      <c r="I342" s="1">
        <f>SUMIFS($S$2:$S$10,$R$2:$R$10,F342)</f>
        <v>2</v>
      </c>
      <c r="J342" s="1">
        <f>SUM(G342:I342)</f>
        <v>24</v>
      </c>
      <c r="K342" s="1">
        <f>SUMIFS($U$2:$U$10,$R$2:$R$10,E342)</f>
        <v>0.05</v>
      </c>
      <c r="L342" s="1">
        <f>SUMIFS($V$2:$V$10,$R$2:$R$10,F342)</f>
        <v>0.02</v>
      </c>
      <c r="M342" s="1">
        <f>SUMIFS($T$2:$T$10,$R$2:$R$10,D342)</f>
        <v>0.32</v>
      </c>
    </row>
    <row r="343" spans="1:13" x14ac:dyDescent="0.25">
      <c r="A343" s="1">
        <f>(A$2+A$2*K343+A$2*L343)*(1+M343)</f>
        <v>666.03920000000005</v>
      </c>
      <c r="B343" s="1">
        <f>(B$2+B$2*K343+B$2*L343)*(1+M343)</f>
        <v>774.6939000000001</v>
      </c>
      <c r="C343" s="1">
        <f>(C$2+C$2*K343+C$2*L343)*(1+M343)</f>
        <v>814.2047</v>
      </c>
      <c r="D343" s="1">
        <v>7</v>
      </c>
      <c r="E343" s="1">
        <v>0</v>
      </c>
      <c r="F343" s="1">
        <v>3</v>
      </c>
      <c r="G343" s="1">
        <f>SUMIFS($S$2:$S$10,$R$2:$R$10,D343)</f>
        <v>20</v>
      </c>
      <c r="H343" s="1">
        <f>SUMIFS($S$2:$S$10,$R$2:$R$10,E343)</f>
        <v>0</v>
      </c>
      <c r="I343" s="1">
        <f>SUMIFS($S$2:$S$10,$R$2:$R$10,F343)</f>
        <v>4</v>
      </c>
      <c r="J343" s="1">
        <f>SUM(G343:I343)</f>
        <v>24</v>
      </c>
      <c r="K343" s="1">
        <f>SUMIFS($U$2:$U$10,$R$2:$R$10,E343)</f>
        <v>0</v>
      </c>
      <c r="L343" s="1">
        <f>SUMIFS($V$2:$V$10,$R$2:$R$10,F343)</f>
        <v>0.03</v>
      </c>
      <c r="M343" s="1">
        <f>SUMIFS($T$2:$T$10,$R$2:$R$10,D343)</f>
        <v>0.37</v>
      </c>
    </row>
    <row r="344" spans="1:13" x14ac:dyDescent="0.25">
      <c r="A344" s="1">
        <f>(A$2+A$2*K344+A$2*L344)*(1+M344)</f>
        <v>672.50560000000007</v>
      </c>
      <c r="B344" s="1">
        <f>(B$2+B$2*K344+B$2*L344)*(1+M344)</f>
        <v>782.2152000000001</v>
      </c>
      <c r="C344" s="1">
        <f>(C$2+C$2*K344+C$2*L344)*(1+M344)</f>
        <v>822.1096</v>
      </c>
      <c r="D344" s="1">
        <v>7</v>
      </c>
      <c r="E344" s="1">
        <v>2</v>
      </c>
      <c r="F344" s="1">
        <v>2</v>
      </c>
      <c r="G344" s="1">
        <f>SUMIFS($S$2:$S$10,$R$2:$R$10,D344)</f>
        <v>20</v>
      </c>
      <c r="H344" s="1">
        <f>SUMIFS($S$2:$S$10,$R$2:$R$10,E344)</f>
        <v>2</v>
      </c>
      <c r="I344" s="1">
        <f>SUMIFS($S$2:$S$10,$R$2:$R$10,F344)</f>
        <v>2</v>
      </c>
      <c r="J344" s="1">
        <f>SUM(G344:I344)</f>
        <v>24</v>
      </c>
      <c r="K344" s="1">
        <f>SUMIFS($U$2:$U$10,$R$2:$R$10,E344)</f>
        <v>0.02</v>
      </c>
      <c r="L344" s="1">
        <f>SUMIFS($V$2:$V$10,$R$2:$R$10,F344)</f>
        <v>0.02</v>
      </c>
      <c r="M344" s="1">
        <f>SUMIFS($T$2:$T$10,$R$2:$R$10,D344)</f>
        <v>0.37</v>
      </c>
    </row>
    <row r="345" spans="1:13" x14ac:dyDescent="0.25">
      <c r="A345" s="1">
        <f>(A$2+A$2*K345+A$2*L345)*(1+M345)</f>
        <v>666.03920000000005</v>
      </c>
      <c r="B345" s="1">
        <f>(B$2+B$2*K345+B$2*L345)*(1+M345)</f>
        <v>774.6939000000001</v>
      </c>
      <c r="C345" s="1">
        <f>(C$2+C$2*K345+C$2*L345)*(1+M345)</f>
        <v>814.2047</v>
      </c>
      <c r="D345" s="1">
        <v>7</v>
      </c>
      <c r="E345" s="1">
        <v>3</v>
      </c>
      <c r="F345" s="1">
        <v>0</v>
      </c>
      <c r="G345" s="1">
        <f>SUMIFS($S$2:$S$10,$R$2:$R$10,D345)</f>
        <v>20</v>
      </c>
      <c r="H345" s="1">
        <f>SUMIFS($S$2:$S$10,$R$2:$R$10,E345)</f>
        <v>4</v>
      </c>
      <c r="I345" s="1">
        <f>SUMIFS($S$2:$S$10,$R$2:$R$10,F345)</f>
        <v>0</v>
      </c>
      <c r="J345" s="1">
        <f>SUM(G345:I345)</f>
        <v>24</v>
      </c>
      <c r="K345" s="1">
        <f>SUMIFS($U$2:$U$10,$R$2:$R$10,E345)</f>
        <v>0.03</v>
      </c>
      <c r="L345" s="1">
        <f>SUMIFS($V$2:$V$10,$R$2:$R$10,F345)</f>
        <v>0</v>
      </c>
      <c r="M345" s="1">
        <f>SUMIFS($T$2:$T$10,$R$2:$R$10,D345)</f>
        <v>0.37</v>
      </c>
    </row>
    <row r="346" spans="1:13" x14ac:dyDescent="0.25">
      <c r="A346" s="3">
        <f>(A$2+A$2*M346+A$2*L346)*(1+K346)</f>
        <v>629.08159999999998</v>
      </c>
      <c r="B346" s="3">
        <f>(B$2+B$2*M346+B$2*L346)*(1+K346)</f>
        <v>731.70720000000006</v>
      </c>
      <c r="C346" s="3">
        <f>(C$2+C$2*M346+C$2*L346)*(1+K346)</f>
        <v>769.02559999999994</v>
      </c>
      <c r="D346" s="3">
        <v>5</v>
      </c>
      <c r="E346" s="3">
        <v>3</v>
      </c>
      <c r="F346" s="3">
        <v>5</v>
      </c>
      <c r="G346" s="3">
        <f>SUMIFS($S$2:$S$10,$R$2:$R$10,D346)</f>
        <v>10</v>
      </c>
      <c r="H346" s="3">
        <f>SUMIFS($S$2:$S$10,$R$2:$R$10,E346)</f>
        <v>4</v>
      </c>
      <c r="I346" s="3">
        <f>SUMIFS($S$2:$S$10,$R$2:$R$10,F346)</f>
        <v>10</v>
      </c>
      <c r="J346" s="3">
        <f>SUM(G346:I346)</f>
        <v>24</v>
      </c>
      <c r="K346" s="3">
        <f>SUMIFS($T$2:$T$10,$R$2:$R$10,E346)</f>
        <v>0.19</v>
      </c>
      <c r="L346" s="3">
        <f>SUMIFS($V$2:$V$10,$R$2:$R$10,F346)</f>
        <v>0.05</v>
      </c>
      <c r="M346" s="3">
        <f>SUMIFS($U$2:$U$10,$R$2:$R$10,D346)</f>
        <v>7.0000000000000007E-2</v>
      </c>
    </row>
    <row r="347" spans="1:13" x14ac:dyDescent="0.25">
      <c r="A347" s="3">
        <f>(A$2+A$2*M347+A$2*L347)*(1+K347)</f>
        <v>639.18240000000003</v>
      </c>
      <c r="B347" s="3">
        <f>(B$2+B$2*M347+B$2*L347)*(1+K347)</f>
        <v>743.45580000000007</v>
      </c>
      <c r="C347" s="3">
        <f>(C$2+C$2*M347+C$2*L347)*(1+K347)</f>
        <v>781.37340000000006</v>
      </c>
      <c r="D347" s="3">
        <v>5</v>
      </c>
      <c r="E347" s="3">
        <v>4</v>
      </c>
      <c r="F347" s="3">
        <v>4</v>
      </c>
      <c r="G347" s="3">
        <f>SUMIFS($S$2:$S$10,$R$2:$R$10,D347)</f>
        <v>10</v>
      </c>
      <c r="H347" s="3">
        <f>SUMIFS($S$2:$S$10,$R$2:$R$10,E347)</f>
        <v>7</v>
      </c>
      <c r="I347" s="3">
        <f>SUMIFS($S$2:$S$10,$R$2:$R$10,F347)</f>
        <v>7</v>
      </c>
      <c r="J347" s="3">
        <f>SUM(G347:I347)</f>
        <v>24</v>
      </c>
      <c r="K347" s="3">
        <f>SUMIFS($T$2:$T$10,$R$2:$R$10,E347)</f>
        <v>0.22</v>
      </c>
      <c r="L347" s="3">
        <f>SUMIFS($V$2:$V$10,$R$2:$R$10,F347)</f>
        <v>0.04</v>
      </c>
      <c r="M347" s="3">
        <f>SUMIFS($U$2:$U$10,$R$2:$R$10,D347)</f>
        <v>7.0000000000000007E-2</v>
      </c>
    </row>
    <row r="348" spans="1:13" x14ac:dyDescent="0.25">
      <c r="A348" s="3">
        <f>(A$2+A$2*M348+A$2*L348)*(1+K348)</f>
        <v>659.38400000000001</v>
      </c>
      <c r="B348" s="3">
        <f>(B$2+B$2*M348+B$2*L348)*(1+K348)</f>
        <v>766.95300000000009</v>
      </c>
      <c r="C348" s="3">
        <f>(C$2+C$2*M348+C$2*L348)*(1+K348)</f>
        <v>806.06899999999996</v>
      </c>
      <c r="D348" s="3">
        <v>5</v>
      </c>
      <c r="E348" s="3">
        <v>5</v>
      </c>
      <c r="F348" s="3">
        <v>3</v>
      </c>
      <c r="G348" s="3">
        <f>SUMIFS($S$2:$S$10,$R$2:$R$10,D348)</f>
        <v>10</v>
      </c>
      <c r="H348" s="3">
        <f>SUMIFS($S$2:$S$10,$R$2:$R$10,E348)</f>
        <v>10</v>
      </c>
      <c r="I348" s="3">
        <f>SUMIFS($S$2:$S$10,$R$2:$R$10,F348)</f>
        <v>4</v>
      </c>
      <c r="J348" s="3">
        <f>SUM(G348:I348)</f>
        <v>24</v>
      </c>
      <c r="K348" s="3">
        <f>SUMIFS($T$2:$T$10,$R$2:$R$10,E348)</f>
        <v>0.27</v>
      </c>
      <c r="L348" s="3">
        <f>SUMIFS($V$2:$V$10,$R$2:$R$10,F348)</f>
        <v>0.03</v>
      </c>
      <c r="M348" s="3">
        <f>SUMIFS($U$2:$U$10,$R$2:$R$10,D348)</f>
        <v>7.0000000000000007E-2</v>
      </c>
    </row>
    <row r="349" spans="1:13" x14ac:dyDescent="0.25">
      <c r="A349" s="3">
        <f>(A$2+A$2*M349+A$2*L349)*(1+K349)</f>
        <v>618.69759999999997</v>
      </c>
      <c r="B349" s="3">
        <f>(B$2+B$2*M349+B$2*L349)*(1+K349)</f>
        <v>719.62919999999997</v>
      </c>
      <c r="C349" s="3">
        <f>(C$2+C$2*M349+C$2*L349)*(1+K349)</f>
        <v>756.33159999999998</v>
      </c>
      <c r="D349" s="3">
        <v>6</v>
      </c>
      <c r="E349" s="3">
        <v>2</v>
      </c>
      <c r="F349" s="3">
        <v>4</v>
      </c>
      <c r="G349" s="3">
        <f>SUMIFS($S$2:$S$10,$R$2:$R$10,D349)</f>
        <v>15</v>
      </c>
      <c r="H349" s="3">
        <f>SUMIFS($S$2:$S$10,$R$2:$R$10,E349)</f>
        <v>2</v>
      </c>
      <c r="I349" s="3">
        <f>SUMIFS($S$2:$S$10,$R$2:$R$10,F349)</f>
        <v>7</v>
      </c>
      <c r="J349" s="3">
        <f>SUM(G349:I349)</f>
        <v>24</v>
      </c>
      <c r="K349" s="3">
        <f>SUMIFS($T$2:$T$10,$R$2:$R$10,E349)</f>
        <v>0.16</v>
      </c>
      <c r="L349" s="3">
        <f>SUMIFS($V$2:$V$10,$R$2:$R$10,F349)</f>
        <v>0.04</v>
      </c>
      <c r="M349" s="3">
        <f>SUMIFS($U$2:$U$10,$R$2:$R$10,D349)</f>
        <v>0.09</v>
      </c>
    </row>
    <row r="350" spans="1:13" x14ac:dyDescent="0.25">
      <c r="A350" s="3">
        <f>(A$2+A$2*M350+A$2*L350)*(1+K350)</f>
        <v>639.18240000000003</v>
      </c>
      <c r="B350" s="3">
        <f>(B$2+B$2*M350+B$2*L350)*(1+K350)</f>
        <v>743.45579999999995</v>
      </c>
      <c r="C350" s="3">
        <f>(C$2+C$2*M350+C$2*L350)*(1+K350)</f>
        <v>781.37339999999983</v>
      </c>
      <c r="D350" s="3">
        <v>6</v>
      </c>
      <c r="E350" s="3">
        <v>4</v>
      </c>
      <c r="F350" s="3">
        <v>2</v>
      </c>
      <c r="G350" s="3">
        <f>SUMIFS($S$2:$S$10,$R$2:$R$10,D350)</f>
        <v>15</v>
      </c>
      <c r="H350" s="3">
        <f>SUMIFS($S$2:$S$10,$R$2:$R$10,E350)</f>
        <v>7</v>
      </c>
      <c r="I350" s="3">
        <f>SUMIFS($S$2:$S$10,$R$2:$R$10,F350)</f>
        <v>2</v>
      </c>
      <c r="J350" s="3">
        <f>SUM(G350:I350)</f>
        <v>24</v>
      </c>
      <c r="K350" s="3">
        <f>SUMIFS($T$2:$T$10,$R$2:$R$10,E350)</f>
        <v>0.22</v>
      </c>
      <c r="L350" s="3">
        <f>SUMIFS($V$2:$V$10,$R$2:$R$10,F350)</f>
        <v>0.02</v>
      </c>
      <c r="M350" s="3">
        <f>SUMIFS($U$2:$U$10,$R$2:$R$10,D350)</f>
        <v>0.09</v>
      </c>
    </row>
    <row r="351" spans="1:13" x14ac:dyDescent="0.25">
      <c r="A351" s="3">
        <f>(A$2+A$2*M351+A$2*L351)*(1+K351)</f>
        <v>538.07999999999993</v>
      </c>
      <c r="B351" s="3">
        <f>(B$2+B$2*M351+B$2*L351)*(1+K351)</f>
        <v>625.86</v>
      </c>
      <c r="C351" s="3">
        <f>(C$2+C$2*M351+C$2*L351)*(1+K351)</f>
        <v>657.78</v>
      </c>
      <c r="D351" s="3">
        <v>7</v>
      </c>
      <c r="E351" s="3">
        <v>0</v>
      </c>
      <c r="F351" s="3">
        <v>3</v>
      </c>
      <c r="G351" s="3">
        <f>SUMIFS($S$2:$S$10,$R$2:$R$10,D351)</f>
        <v>20</v>
      </c>
      <c r="H351" s="3">
        <f>SUMIFS($S$2:$S$10,$R$2:$R$10,E351)</f>
        <v>0</v>
      </c>
      <c r="I351" s="3">
        <f>SUMIFS($S$2:$S$10,$R$2:$R$10,F351)</f>
        <v>4</v>
      </c>
      <c r="J351" s="3">
        <f>SUM(G351:I351)</f>
        <v>24</v>
      </c>
      <c r="K351" s="3">
        <f>SUMIFS($T$2:$T$10,$R$2:$R$10,E351)</f>
        <v>0</v>
      </c>
      <c r="L351" s="3">
        <f>SUMIFS($V$2:$V$10,$R$2:$R$10,F351)</f>
        <v>0.03</v>
      </c>
      <c r="M351" s="3">
        <f>SUMIFS($U$2:$U$10,$R$2:$R$10,D351)</f>
        <v>0.11</v>
      </c>
    </row>
    <row r="352" spans="1:13" x14ac:dyDescent="0.25">
      <c r="A352" s="3">
        <f>(A$2+A$2*M352+A$2*L352)*(1+K352)</f>
        <v>618.69759999999997</v>
      </c>
      <c r="B352" s="3">
        <f>(B$2+B$2*M352+B$2*L352)*(1+K352)</f>
        <v>719.62919999999997</v>
      </c>
      <c r="C352" s="3">
        <f>(C$2+C$2*M352+C$2*L352)*(1+K352)</f>
        <v>756.33159999999998</v>
      </c>
      <c r="D352" s="3">
        <v>7</v>
      </c>
      <c r="E352" s="3">
        <v>2</v>
      </c>
      <c r="F352" s="3">
        <v>2</v>
      </c>
      <c r="G352" s="3">
        <f>SUMIFS($S$2:$S$10,$R$2:$R$10,D352)</f>
        <v>20</v>
      </c>
      <c r="H352" s="3">
        <f>SUMIFS($S$2:$S$10,$R$2:$R$10,E352)</f>
        <v>2</v>
      </c>
      <c r="I352" s="3">
        <f>SUMIFS($S$2:$S$10,$R$2:$R$10,F352)</f>
        <v>2</v>
      </c>
      <c r="J352" s="3">
        <f>SUM(G352:I352)</f>
        <v>24</v>
      </c>
      <c r="K352" s="3">
        <f>SUMIFS($T$2:$T$10,$R$2:$R$10,E352)</f>
        <v>0.16</v>
      </c>
      <c r="L352" s="3">
        <f>SUMIFS($V$2:$V$10,$R$2:$R$10,F352)</f>
        <v>0.02</v>
      </c>
      <c r="M352" s="3">
        <f>SUMIFS($U$2:$U$10,$R$2:$R$10,D352)</f>
        <v>0.11</v>
      </c>
    </row>
    <row r="353" spans="1:13" x14ac:dyDescent="0.25">
      <c r="A353" s="3">
        <f>(A$2+A$2*M353+A$2*L353)*(1+K353)</f>
        <v>623.46479999999997</v>
      </c>
      <c r="B353" s="3">
        <f>(B$2+B$2*M353+B$2*L353)*(1+K353)</f>
        <v>725.17409999999995</v>
      </c>
      <c r="C353" s="3">
        <f>(C$2+C$2*M353+C$2*L353)*(1+K353)</f>
        <v>762.15930000000003</v>
      </c>
      <c r="D353" s="3">
        <v>7</v>
      </c>
      <c r="E353" s="3">
        <v>3</v>
      </c>
      <c r="F353" s="3">
        <v>0</v>
      </c>
      <c r="G353" s="3">
        <f>SUMIFS($S$2:$S$10,$R$2:$R$10,D353)</f>
        <v>20</v>
      </c>
      <c r="H353" s="3">
        <f>SUMIFS($S$2:$S$10,$R$2:$R$10,E353)</f>
        <v>4</v>
      </c>
      <c r="I353" s="3">
        <f>SUMIFS($S$2:$S$10,$R$2:$R$10,F353)</f>
        <v>0</v>
      </c>
      <c r="J353" s="3">
        <f>SUM(G353:I353)</f>
        <v>24</v>
      </c>
      <c r="K353" s="3">
        <f>SUMIFS($T$2:$T$10,$R$2:$R$10,E353)</f>
        <v>0.19</v>
      </c>
      <c r="L353" s="3">
        <f>SUMIFS($V$2:$V$10,$R$2:$R$10,F353)</f>
        <v>0</v>
      </c>
      <c r="M353" s="3">
        <f>SUMIFS($U$2:$U$10,$R$2:$R$10,D353)</f>
        <v>0.11</v>
      </c>
    </row>
    <row r="354" spans="1:13" x14ac:dyDescent="0.25">
      <c r="A354" s="2">
        <f>(A$2+A$2*K354+A$2*M354)*(1+L354)</f>
        <v>647.39520000000005</v>
      </c>
      <c r="B354" s="2">
        <f>(B$2+B$2*K354+B$2*M354)*(1+L354)</f>
        <v>753.00840000000005</v>
      </c>
      <c r="C354" s="2">
        <f>(C$2+C$2*K354+C$2*M354)*(1+L354)</f>
        <v>791.41319999999996</v>
      </c>
      <c r="D354" s="2">
        <v>5</v>
      </c>
      <c r="E354" s="2">
        <v>3</v>
      </c>
      <c r="F354" s="2">
        <v>5</v>
      </c>
      <c r="G354" s="2">
        <f>SUMIFS($S$2:$S$10,$R$2:$R$10,D354)</f>
        <v>10</v>
      </c>
      <c r="H354" s="2">
        <f>SUMIFS($S$2:$S$10,$R$2:$R$10,E354)</f>
        <v>4</v>
      </c>
      <c r="I354" s="2">
        <f>SUMIFS($S$2:$S$10,$R$2:$R$10,F354)</f>
        <v>10</v>
      </c>
      <c r="J354" s="2">
        <f>SUM(G354:I354)</f>
        <v>24</v>
      </c>
      <c r="K354" s="2">
        <f>SUMIFS($U$2:$U$10,$R$2:$R$10,E354)</f>
        <v>0.03</v>
      </c>
      <c r="L354" s="2">
        <f>SUMIFS($T$2:$T$10,$R$2:$R$10,F354)</f>
        <v>0.27</v>
      </c>
      <c r="M354" s="2">
        <f>SUMIFS($V$2:$V$10,$R$2:$R$10,D354)</f>
        <v>0.05</v>
      </c>
    </row>
    <row r="355" spans="1:13" x14ac:dyDescent="0.25">
      <c r="A355" s="2">
        <f>(A$2+A$2*K355+A$2*M355)*(1+L355)</f>
        <v>633.42400000000009</v>
      </c>
      <c r="B355" s="2">
        <f>(B$2+B$2*K355+B$2*M355)*(1+L355)</f>
        <v>736.75800000000004</v>
      </c>
      <c r="C355" s="2">
        <f>(C$2+C$2*K355+C$2*M355)*(1+L355)</f>
        <v>774.33400000000006</v>
      </c>
      <c r="D355" s="2">
        <v>5</v>
      </c>
      <c r="E355" s="2">
        <v>4</v>
      </c>
      <c r="F355" s="2">
        <v>4</v>
      </c>
      <c r="G355" s="2">
        <f>SUMIFS($S$2:$S$10,$R$2:$R$10,D355)</f>
        <v>10</v>
      </c>
      <c r="H355" s="2">
        <f>SUMIFS($S$2:$S$10,$R$2:$R$10,E355)</f>
        <v>7</v>
      </c>
      <c r="I355" s="2">
        <f>SUMIFS($S$2:$S$10,$R$2:$R$10,F355)</f>
        <v>7</v>
      </c>
      <c r="J355" s="2">
        <f>SUM(G355:I355)</f>
        <v>24</v>
      </c>
      <c r="K355" s="2">
        <f>SUMIFS($U$2:$U$10,$R$2:$R$10,E355)</f>
        <v>0.05</v>
      </c>
      <c r="L355" s="2">
        <f>SUMIFS($T$2:$T$10,$R$2:$R$10,F355)</f>
        <v>0.22</v>
      </c>
      <c r="M355" s="2">
        <f>SUMIFS($V$2:$V$10,$R$2:$R$10,D355)</f>
        <v>0.05</v>
      </c>
    </row>
    <row r="356" spans="1:13" x14ac:dyDescent="0.25">
      <c r="A356" s="2">
        <f>(A$2+A$2*K356+A$2*M356)*(1+L356)</f>
        <v>629.08159999999998</v>
      </c>
      <c r="B356" s="2">
        <f>(B$2+B$2*K356+B$2*M356)*(1+L356)</f>
        <v>731.70720000000006</v>
      </c>
      <c r="C356" s="2">
        <f>(C$2+C$2*K356+C$2*M356)*(1+L356)</f>
        <v>769.02559999999994</v>
      </c>
      <c r="D356" s="2">
        <v>5</v>
      </c>
      <c r="E356" s="2">
        <v>5</v>
      </c>
      <c r="F356" s="2">
        <v>3</v>
      </c>
      <c r="G356" s="2">
        <f>SUMIFS($S$2:$S$10,$R$2:$R$10,D356)</f>
        <v>10</v>
      </c>
      <c r="H356" s="2">
        <f>SUMIFS($S$2:$S$10,$R$2:$R$10,E356)</f>
        <v>10</v>
      </c>
      <c r="I356" s="2">
        <f>SUMIFS($S$2:$S$10,$R$2:$R$10,F356)</f>
        <v>4</v>
      </c>
      <c r="J356" s="2">
        <f>SUM(G356:I356)</f>
        <v>24</v>
      </c>
      <c r="K356" s="2">
        <f>SUMIFS($U$2:$U$10,$R$2:$R$10,E356)</f>
        <v>7.0000000000000007E-2</v>
      </c>
      <c r="L356" s="2">
        <f>SUMIFS($T$2:$T$10,$R$2:$R$10,F356)</f>
        <v>0.19</v>
      </c>
      <c r="M356" s="2">
        <f>SUMIFS($V$2:$V$10,$R$2:$R$10,D356)</f>
        <v>0.05</v>
      </c>
    </row>
    <row r="357" spans="1:13" x14ac:dyDescent="0.25">
      <c r="A357" s="2">
        <f>(A$2+A$2*K357+A$2*M357)*(1+L357)</f>
        <v>621.90719999999999</v>
      </c>
      <c r="B357" s="2">
        <f>(B$2+B$2*K357+B$2*M357)*(1+L357)</f>
        <v>723.36240000000009</v>
      </c>
      <c r="C357" s="2">
        <f>(C$2+C$2*K357+C$2*M357)*(1+L357)</f>
        <v>760.25519999999995</v>
      </c>
      <c r="D357" s="2">
        <v>6</v>
      </c>
      <c r="E357" s="2">
        <v>2</v>
      </c>
      <c r="F357" s="2">
        <v>4</v>
      </c>
      <c r="G357" s="2">
        <f>SUMIFS($S$2:$S$10,$R$2:$R$10,D357)</f>
        <v>15</v>
      </c>
      <c r="H357" s="2">
        <f>SUMIFS($S$2:$S$10,$R$2:$R$10,E357)</f>
        <v>2</v>
      </c>
      <c r="I357" s="2">
        <f>SUMIFS($S$2:$S$10,$R$2:$R$10,F357)</f>
        <v>7</v>
      </c>
      <c r="J357" s="2">
        <f>SUM(G357:I357)</f>
        <v>24</v>
      </c>
      <c r="K357" s="2">
        <f>SUMIFS($U$2:$U$10,$R$2:$R$10,E357)</f>
        <v>0.02</v>
      </c>
      <c r="L357" s="2">
        <f>SUMIFS($T$2:$T$10,$R$2:$R$10,F357)</f>
        <v>0.22</v>
      </c>
      <c r="M357" s="2">
        <f>SUMIFS($V$2:$V$10,$R$2:$R$10,D357)</f>
        <v>0.06</v>
      </c>
    </row>
    <row r="358" spans="1:13" x14ac:dyDescent="0.25">
      <c r="A358" s="2">
        <f>(A$2+A$2*K358+A$2*M358)*(1+L358)</f>
        <v>607.74720000000002</v>
      </c>
      <c r="B358" s="2">
        <f>(B$2+B$2*K358+B$2*M358)*(1+L358)</f>
        <v>706.89240000000007</v>
      </c>
      <c r="C358" s="2">
        <f>(C$2+C$2*K358+C$2*M358)*(1+L358)</f>
        <v>742.9452</v>
      </c>
      <c r="D358" s="2">
        <v>6</v>
      </c>
      <c r="E358" s="2">
        <v>4</v>
      </c>
      <c r="F358" s="2">
        <v>2</v>
      </c>
      <c r="G358" s="2">
        <f>SUMIFS($S$2:$S$10,$R$2:$R$10,D358)</f>
        <v>15</v>
      </c>
      <c r="H358" s="2">
        <f>SUMIFS($S$2:$S$10,$R$2:$R$10,E358)</f>
        <v>7</v>
      </c>
      <c r="I358" s="2">
        <f>SUMIFS($S$2:$S$10,$R$2:$R$10,F358)</f>
        <v>2</v>
      </c>
      <c r="J358" s="2">
        <f>SUM(G358:I358)</f>
        <v>24</v>
      </c>
      <c r="K358" s="2">
        <f>SUMIFS($U$2:$U$10,$R$2:$R$10,E358)</f>
        <v>0.05</v>
      </c>
      <c r="L358" s="2">
        <f>SUMIFS($T$2:$T$10,$R$2:$R$10,F358)</f>
        <v>0.16</v>
      </c>
      <c r="M358" s="2">
        <f>SUMIFS($V$2:$V$10,$R$2:$R$10,D358)</f>
        <v>0.06</v>
      </c>
    </row>
    <row r="359" spans="1:13" x14ac:dyDescent="0.25">
      <c r="A359" s="2">
        <f>(A$2+A$2*K359+A$2*M359)*(1+L359)</f>
        <v>600.99760000000003</v>
      </c>
      <c r="B359" s="2">
        <f>(B$2+B$2*K359+B$2*M359)*(1+L359)</f>
        <v>699.04169999999999</v>
      </c>
      <c r="C359" s="2">
        <f>(C$2+C$2*K359+C$2*M359)*(1+L359)</f>
        <v>734.69409999999993</v>
      </c>
      <c r="D359" s="2">
        <v>7</v>
      </c>
      <c r="E359" s="2">
        <v>0</v>
      </c>
      <c r="F359" s="2">
        <v>3</v>
      </c>
      <c r="G359" s="2">
        <f>SUMIFS($S$2:$S$10,$R$2:$R$10,D359)</f>
        <v>20</v>
      </c>
      <c r="H359" s="2">
        <f>SUMIFS($S$2:$S$10,$R$2:$R$10,E359)</f>
        <v>0</v>
      </c>
      <c r="I359" s="2">
        <f>SUMIFS($S$2:$S$10,$R$2:$R$10,F359)</f>
        <v>4</v>
      </c>
      <c r="J359" s="2">
        <f>SUM(G359:I359)</f>
        <v>24</v>
      </c>
      <c r="K359" s="2">
        <f>SUMIFS($U$2:$U$10,$R$2:$R$10,E359)</f>
        <v>0</v>
      </c>
      <c r="L359" s="2">
        <f>SUMIFS($T$2:$T$10,$R$2:$R$10,F359)</f>
        <v>0.19</v>
      </c>
      <c r="M359" s="2">
        <f>SUMIFS($V$2:$V$10,$R$2:$R$10,D359)</f>
        <v>7.0000000000000007E-2</v>
      </c>
    </row>
    <row r="360" spans="1:13" x14ac:dyDescent="0.25">
      <c r="A360" s="2">
        <f>(A$2+A$2*K360+A$2*M360)*(1+L360)</f>
        <v>596.79679999999996</v>
      </c>
      <c r="B360" s="2">
        <f>(B$2+B$2*K360+B$2*M360)*(1+L360)</f>
        <v>694.15560000000005</v>
      </c>
      <c r="C360" s="2">
        <f>(C$2+C$2*K360+C$2*M360)*(1+L360)</f>
        <v>729.55879999999991</v>
      </c>
      <c r="D360" s="2">
        <v>7</v>
      </c>
      <c r="E360" s="2">
        <v>2</v>
      </c>
      <c r="F360" s="2">
        <v>2</v>
      </c>
      <c r="G360" s="2">
        <f>SUMIFS($S$2:$S$10,$R$2:$R$10,D360)</f>
        <v>20</v>
      </c>
      <c r="H360" s="2">
        <f>SUMIFS($S$2:$S$10,$R$2:$R$10,E360)</f>
        <v>2</v>
      </c>
      <c r="I360" s="2">
        <f>SUMIFS($S$2:$S$10,$R$2:$R$10,F360)</f>
        <v>2</v>
      </c>
      <c r="J360" s="2">
        <f>SUM(G360:I360)</f>
        <v>24</v>
      </c>
      <c r="K360" s="2">
        <f>SUMIFS($U$2:$U$10,$R$2:$R$10,E360)</f>
        <v>0.02</v>
      </c>
      <c r="L360" s="2">
        <f>SUMIFS($T$2:$T$10,$R$2:$R$10,F360)</f>
        <v>0.16</v>
      </c>
      <c r="M360" s="2">
        <f>SUMIFS($V$2:$V$10,$R$2:$R$10,D360)</f>
        <v>7.0000000000000007E-2</v>
      </c>
    </row>
    <row r="361" spans="1:13" x14ac:dyDescent="0.25">
      <c r="A361" s="2">
        <f>(A$2+A$2*K361+A$2*M361)*(1+L361)</f>
        <v>519.20000000000005</v>
      </c>
      <c r="B361" s="2">
        <f>(B$2+B$2*K361+B$2*M361)*(1+L361)</f>
        <v>603.90000000000009</v>
      </c>
      <c r="C361" s="2">
        <f>(C$2+C$2*K361+C$2*M361)*(1+L361)</f>
        <v>634.69999999999993</v>
      </c>
      <c r="D361" s="2">
        <v>7</v>
      </c>
      <c r="E361" s="2">
        <v>3</v>
      </c>
      <c r="F361" s="2">
        <v>0</v>
      </c>
      <c r="G361" s="2">
        <f>SUMIFS($S$2:$S$10,$R$2:$R$10,D361)</f>
        <v>20</v>
      </c>
      <c r="H361" s="2">
        <f>SUMIFS($S$2:$S$10,$R$2:$R$10,E361)</f>
        <v>4</v>
      </c>
      <c r="I361" s="2">
        <f>SUMIFS($S$2:$S$10,$R$2:$R$10,F361)</f>
        <v>0</v>
      </c>
      <c r="J361" s="2">
        <f>SUM(G361:I361)</f>
        <v>24</v>
      </c>
      <c r="K361" s="2">
        <f>SUMIFS($U$2:$U$10,$R$2:$R$10,E361)</f>
        <v>0.03</v>
      </c>
      <c r="L361" s="2">
        <f>SUMIFS($T$2:$T$10,$R$2:$R$10,F361)</f>
        <v>0</v>
      </c>
      <c r="M361" s="2">
        <f>SUMIFS($V$2:$V$10,$R$2:$R$10,D361)</f>
        <v>7.0000000000000007E-2</v>
      </c>
    </row>
    <row r="362" spans="1:13" x14ac:dyDescent="0.25">
      <c r="A362" s="1">
        <f>(A$2+A$2*K362+A$2*L362)*(1+M362)</f>
        <v>654.19200000000001</v>
      </c>
      <c r="B362" s="1">
        <f>(B$2+B$2*K362+B$2*L362)*(1+M362)</f>
        <v>760.9140000000001</v>
      </c>
      <c r="C362" s="1">
        <f>(C$2+C$2*K362+C$2*L362)*(1+M362)</f>
        <v>799.72200000000009</v>
      </c>
      <c r="D362" s="1">
        <v>6</v>
      </c>
      <c r="E362" s="1">
        <v>0</v>
      </c>
      <c r="F362" s="1">
        <v>5</v>
      </c>
      <c r="G362" s="1">
        <f>SUMIFS($S$2:$S$10,$R$2:$R$10,D362)</f>
        <v>15</v>
      </c>
      <c r="H362" s="1">
        <f>SUMIFS($S$2:$S$10,$R$2:$R$10,E362)</f>
        <v>0</v>
      </c>
      <c r="I362" s="1">
        <f>SUMIFS($S$2:$S$10,$R$2:$R$10,F362)</f>
        <v>10</v>
      </c>
      <c r="J362" s="1">
        <f>SUM(G362:I362)</f>
        <v>25</v>
      </c>
      <c r="K362" s="1">
        <f>SUMIFS($U$2:$U$10,$R$2:$R$10,E362)</f>
        <v>0</v>
      </c>
      <c r="L362" s="1">
        <f>SUMIFS($V$2:$V$10,$R$2:$R$10,F362)</f>
        <v>0.05</v>
      </c>
      <c r="M362" s="1">
        <f>SUMIFS($T$2:$T$10,$R$2:$R$10,D362)</f>
        <v>0.32</v>
      </c>
    </row>
    <row r="363" spans="1:13" x14ac:dyDescent="0.25">
      <c r="A363" s="1">
        <f>(A$2+A$2*K363+A$2*L363)*(1+M363)</f>
        <v>666.65280000000007</v>
      </c>
      <c r="B363" s="1">
        <f>(B$2+B$2*K363+B$2*L363)*(1+M363)</f>
        <v>775.40760000000012</v>
      </c>
      <c r="C363" s="1">
        <f>(C$2+C$2*K363+C$2*L363)*(1+M363)</f>
        <v>814.95479999999998</v>
      </c>
      <c r="D363" s="1">
        <v>6</v>
      </c>
      <c r="E363" s="1">
        <v>5</v>
      </c>
      <c r="F363" s="1">
        <v>0</v>
      </c>
      <c r="G363" s="1">
        <f>SUMIFS($S$2:$S$10,$R$2:$R$10,D363)</f>
        <v>15</v>
      </c>
      <c r="H363" s="1">
        <f>SUMIFS($S$2:$S$10,$R$2:$R$10,E363)</f>
        <v>10</v>
      </c>
      <c r="I363" s="1">
        <f>SUMIFS($S$2:$S$10,$R$2:$R$10,F363)</f>
        <v>0</v>
      </c>
      <c r="J363" s="1">
        <f>SUM(G363:I363)</f>
        <v>25</v>
      </c>
      <c r="K363" s="1">
        <f>SUMIFS($U$2:$U$10,$R$2:$R$10,E363)</f>
        <v>7.0000000000000007E-2</v>
      </c>
      <c r="L363" s="1">
        <f>SUMIFS($V$2:$V$10,$R$2:$R$10,F363)</f>
        <v>0</v>
      </c>
      <c r="M363" s="1">
        <f>SUMIFS($T$2:$T$10,$R$2:$R$10,D363)</f>
        <v>0.32</v>
      </c>
    </row>
    <row r="364" spans="1:13" x14ac:dyDescent="0.25">
      <c r="A364" s="1">
        <f>(A$2+A$2*K364+A$2*L364)*(1+M364)</f>
        <v>672.50560000000007</v>
      </c>
      <c r="B364" s="1">
        <f>(B$2+B$2*K364+B$2*L364)*(1+M364)</f>
        <v>782.2152000000001</v>
      </c>
      <c r="C364" s="1">
        <f>(C$2+C$2*K364+C$2*L364)*(1+M364)</f>
        <v>822.1096</v>
      </c>
      <c r="D364" s="1">
        <v>7</v>
      </c>
      <c r="E364" s="1">
        <v>1</v>
      </c>
      <c r="F364" s="1">
        <v>3</v>
      </c>
      <c r="G364" s="1">
        <f>SUMIFS($S$2:$S$10,$R$2:$R$10,D364)</f>
        <v>20</v>
      </c>
      <c r="H364" s="1">
        <f>SUMIFS($S$2:$S$10,$R$2:$R$10,E364)</f>
        <v>1</v>
      </c>
      <c r="I364" s="1">
        <f>SUMIFS($S$2:$S$10,$R$2:$R$10,F364)</f>
        <v>4</v>
      </c>
      <c r="J364" s="1">
        <f>SUM(G364:I364)</f>
        <v>25</v>
      </c>
      <c r="K364" s="1">
        <f>SUMIFS($U$2:$U$10,$R$2:$R$10,E364)</f>
        <v>0.01</v>
      </c>
      <c r="L364" s="1">
        <f>SUMIFS($V$2:$V$10,$R$2:$R$10,F364)</f>
        <v>0.03</v>
      </c>
      <c r="M364" s="1">
        <f>SUMIFS($T$2:$T$10,$R$2:$R$10,D364)</f>
        <v>0.37</v>
      </c>
    </row>
    <row r="365" spans="1:13" x14ac:dyDescent="0.25">
      <c r="A365" s="1">
        <f>(A$2+A$2*K365+A$2*L365)*(1+M365)</f>
        <v>672.50560000000007</v>
      </c>
      <c r="B365" s="1">
        <f>(B$2+B$2*K365+B$2*L365)*(1+M365)</f>
        <v>782.2152000000001</v>
      </c>
      <c r="C365" s="1">
        <f>(C$2+C$2*K365+C$2*L365)*(1+M365)</f>
        <v>822.1096</v>
      </c>
      <c r="D365" s="1">
        <v>7</v>
      </c>
      <c r="E365" s="1">
        <v>3</v>
      </c>
      <c r="F365" s="1">
        <v>1</v>
      </c>
      <c r="G365" s="1">
        <f>SUMIFS($S$2:$S$10,$R$2:$R$10,D365)</f>
        <v>20</v>
      </c>
      <c r="H365" s="1">
        <f>SUMIFS($S$2:$S$10,$R$2:$R$10,E365)</f>
        <v>4</v>
      </c>
      <c r="I365" s="1">
        <f>SUMIFS($S$2:$S$10,$R$2:$R$10,F365)</f>
        <v>1</v>
      </c>
      <c r="J365" s="1">
        <f>SUM(G365:I365)</f>
        <v>25</v>
      </c>
      <c r="K365" s="1">
        <f>SUMIFS($U$2:$U$10,$R$2:$R$10,E365)</f>
        <v>0.03</v>
      </c>
      <c r="L365" s="1">
        <f>SUMIFS($V$2:$V$10,$R$2:$R$10,F365)</f>
        <v>0.01</v>
      </c>
      <c r="M365" s="1">
        <f>SUMIFS($T$2:$T$10,$R$2:$R$10,D365)</f>
        <v>0.37</v>
      </c>
    </row>
    <row r="366" spans="1:13" x14ac:dyDescent="0.25">
      <c r="A366" s="3">
        <f>(A$2+A$2*M366+A$2*L366)*(1+K366)</f>
        <v>538.08000000000004</v>
      </c>
      <c r="B366" s="3">
        <f>(B$2+B$2*M366+B$2*L366)*(1+K366)</f>
        <v>625.86</v>
      </c>
      <c r="C366" s="3">
        <f>(C$2+C$2*M366+C$2*L366)*(1+K366)</f>
        <v>657.78</v>
      </c>
      <c r="D366" s="3">
        <v>6</v>
      </c>
      <c r="E366" s="3">
        <v>0</v>
      </c>
      <c r="F366" s="3">
        <v>5</v>
      </c>
      <c r="G366" s="3">
        <f>SUMIFS($S$2:$S$10,$R$2:$R$10,D366)</f>
        <v>15</v>
      </c>
      <c r="H366" s="3">
        <f>SUMIFS($S$2:$S$10,$R$2:$R$10,E366)</f>
        <v>0</v>
      </c>
      <c r="I366" s="3">
        <f>SUMIFS($S$2:$S$10,$R$2:$R$10,F366)</f>
        <v>10</v>
      </c>
      <c r="J366" s="3">
        <f>SUM(G366:I366)</f>
        <v>25</v>
      </c>
      <c r="K366" s="3">
        <f>SUMIFS($T$2:$T$10,$R$2:$R$10,E366)</f>
        <v>0</v>
      </c>
      <c r="L366" s="3">
        <f>SUMIFS($V$2:$V$10,$R$2:$R$10,F366)</f>
        <v>0.05</v>
      </c>
      <c r="M366" s="3">
        <f>SUMIFS($U$2:$U$10,$R$2:$R$10,D366)</f>
        <v>0.09</v>
      </c>
    </row>
    <row r="367" spans="1:13" x14ac:dyDescent="0.25">
      <c r="A367" s="3">
        <f>(A$2+A$2*M367+A$2*L367)*(1+K367)</f>
        <v>653.38960000000009</v>
      </c>
      <c r="B367" s="3">
        <f>(B$2+B$2*M367+B$2*L367)*(1+K367)</f>
        <v>759.98069999999996</v>
      </c>
      <c r="C367" s="3">
        <f>(C$2+C$2*M367+C$2*L367)*(1+K367)</f>
        <v>798.74109999999996</v>
      </c>
      <c r="D367" s="3">
        <v>6</v>
      </c>
      <c r="E367" s="3">
        <v>5</v>
      </c>
      <c r="F367" s="3">
        <v>0</v>
      </c>
      <c r="G367" s="3">
        <f>SUMIFS($S$2:$S$10,$R$2:$R$10,D367)</f>
        <v>15</v>
      </c>
      <c r="H367" s="3">
        <f>SUMIFS($S$2:$S$10,$R$2:$R$10,E367)</f>
        <v>10</v>
      </c>
      <c r="I367" s="3">
        <f>SUMIFS($S$2:$S$10,$R$2:$R$10,F367)</f>
        <v>0</v>
      </c>
      <c r="J367" s="3">
        <f>SUM(G367:I367)</f>
        <v>25</v>
      </c>
      <c r="K367" s="3">
        <f>SUMIFS($T$2:$T$10,$R$2:$R$10,E367)</f>
        <v>0.27</v>
      </c>
      <c r="L367" s="3">
        <f>SUMIFS($V$2:$V$10,$R$2:$R$10,F367)</f>
        <v>0</v>
      </c>
      <c r="M367" s="3">
        <f>SUMIFS($U$2:$U$10,$R$2:$R$10,D367)</f>
        <v>0.09</v>
      </c>
    </row>
    <row r="368" spans="1:13" x14ac:dyDescent="0.25">
      <c r="A368" s="3">
        <f>(A$2+A$2*M368+A$2*L368)*(1+K368)</f>
        <v>608.03039999999987</v>
      </c>
      <c r="B368" s="3">
        <f>(B$2+B$2*M368+B$2*L368)*(1+K368)</f>
        <v>707.22179999999992</v>
      </c>
      <c r="C368" s="3">
        <f>(C$2+C$2*M368+C$2*L368)*(1+K368)</f>
        <v>743.29139999999995</v>
      </c>
      <c r="D368" s="3">
        <v>7</v>
      </c>
      <c r="E368" s="3">
        <v>1</v>
      </c>
      <c r="F368" s="3">
        <v>3</v>
      </c>
      <c r="G368" s="3">
        <f>SUMIFS($S$2:$S$10,$R$2:$R$10,D368)</f>
        <v>20</v>
      </c>
      <c r="H368" s="3">
        <f>SUMIFS($S$2:$S$10,$R$2:$R$10,E368)</f>
        <v>1</v>
      </c>
      <c r="I368" s="3">
        <f>SUMIFS($S$2:$S$10,$R$2:$R$10,F368)</f>
        <v>4</v>
      </c>
      <c r="J368" s="3">
        <f>SUM(G368:I368)</f>
        <v>25</v>
      </c>
      <c r="K368" s="3">
        <f>SUMIFS($T$2:$T$10,$R$2:$R$10,E368)</f>
        <v>0.13</v>
      </c>
      <c r="L368" s="3">
        <f>SUMIFS($V$2:$V$10,$R$2:$R$10,F368)</f>
        <v>0.03</v>
      </c>
      <c r="M368" s="3">
        <f>SUMIFS($U$2:$U$10,$R$2:$R$10,D368)</f>
        <v>0.11</v>
      </c>
    </row>
    <row r="369" spans="1:13" x14ac:dyDescent="0.25">
      <c r="A369" s="3">
        <f>(A$2+A$2*M369+A$2*L369)*(1+K369)</f>
        <v>629.08159999999998</v>
      </c>
      <c r="B369" s="3">
        <f>(B$2+B$2*M369+B$2*L369)*(1+K369)</f>
        <v>731.70719999999994</v>
      </c>
      <c r="C369" s="3">
        <f>(C$2+C$2*M369+C$2*L369)*(1+K369)</f>
        <v>769.02559999999994</v>
      </c>
      <c r="D369" s="3">
        <v>7</v>
      </c>
      <c r="E369" s="3">
        <v>3</v>
      </c>
      <c r="F369" s="3">
        <v>1</v>
      </c>
      <c r="G369" s="3">
        <f>SUMIFS($S$2:$S$10,$R$2:$R$10,D369)</f>
        <v>20</v>
      </c>
      <c r="H369" s="3">
        <f>SUMIFS($S$2:$S$10,$R$2:$R$10,E369)</f>
        <v>4</v>
      </c>
      <c r="I369" s="3">
        <f>SUMIFS($S$2:$S$10,$R$2:$R$10,F369)</f>
        <v>1</v>
      </c>
      <c r="J369" s="3">
        <f>SUM(G369:I369)</f>
        <v>25</v>
      </c>
      <c r="K369" s="3">
        <f>SUMIFS($T$2:$T$10,$R$2:$R$10,E369)</f>
        <v>0.19</v>
      </c>
      <c r="L369" s="3">
        <f>SUMIFS($V$2:$V$10,$R$2:$R$10,F369)</f>
        <v>0.01</v>
      </c>
      <c r="M369" s="3">
        <f>SUMIFS($U$2:$U$10,$R$2:$R$10,D369)</f>
        <v>0.11</v>
      </c>
    </row>
    <row r="370" spans="1:13" x14ac:dyDescent="0.25">
      <c r="A370" s="2">
        <f>(A$2+A$2*K370+A$2*M370)*(1+L370)</f>
        <v>635.40639999999996</v>
      </c>
      <c r="B370" s="2">
        <f>(B$2+B$2*K370+B$2*M370)*(1+L370)</f>
        <v>739.06380000000013</v>
      </c>
      <c r="C370" s="2">
        <f>(C$2+C$2*K370+C$2*M370)*(1+L370)</f>
        <v>776.75739999999996</v>
      </c>
      <c r="D370" s="2">
        <v>6</v>
      </c>
      <c r="E370" s="2">
        <v>0</v>
      </c>
      <c r="F370" s="2">
        <v>5</v>
      </c>
      <c r="G370" s="2">
        <f>SUMIFS($S$2:$S$10,$R$2:$R$10,D370)</f>
        <v>15</v>
      </c>
      <c r="H370" s="2">
        <f>SUMIFS($S$2:$S$10,$R$2:$R$10,E370)</f>
        <v>0</v>
      </c>
      <c r="I370" s="2">
        <f>SUMIFS($S$2:$S$10,$R$2:$R$10,F370)</f>
        <v>10</v>
      </c>
      <c r="J370" s="2">
        <f>SUM(G370:I370)</f>
        <v>25</v>
      </c>
      <c r="K370" s="2">
        <f>SUMIFS($U$2:$U$10,$R$2:$R$10,E370)</f>
        <v>0</v>
      </c>
      <c r="L370" s="2">
        <f>SUMIFS($T$2:$T$10,$R$2:$R$10,F370)</f>
        <v>0.27</v>
      </c>
      <c r="M370" s="2">
        <f>SUMIFS($V$2:$V$10,$R$2:$R$10,D370)</f>
        <v>0.06</v>
      </c>
    </row>
    <row r="371" spans="1:13" x14ac:dyDescent="0.25">
      <c r="A371" s="2">
        <f>(A$2+A$2*K371+A$2*M371)*(1+L371)</f>
        <v>533.36</v>
      </c>
      <c r="B371" s="2">
        <f>(B$2+B$2*K371+B$2*M371)*(1+L371)</f>
        <v>620.37000000000012</v>
      </c>
      <c r="C371" s="2">
        <f>(C$2+C$2*K371+C$2*M371)*(1+L371)</f>
        <v>652.01</v>
      </c>
      <c r="D371" s="2">
        <v>6</v>
      </c>
      <c r="E371" s="2">
        <v>5</v>
      </c>
      <c r="F371" s="2">
        <v>0</v>
      </c>
      <c r="G371" s="2">
        <f>SUMIFS($S$2:$S$10,$R$2:$R$10,D371)</f>
        <v>15</v>
      </c>
      <c r="H371" s="2">
        <f>SUMIFS($S$2:$S$10,$R$2:$R$10,E371)</f>
        <v>10</v>
      </c>
      <c r="I371" s="2">
        <f>SUMIFS($S$2:$S$10,$R$2:$R$10,F371)</f>
        <v>0</v>
      </c>
      <c r="J371" s="2">
        <f>SUM(G371:I371)</f>
        <v>25</v>
      </c>
      <c r="K371" s="2">
        <f>SUMIFS($U$2:$U$10,$R$2:$R$10,E371)</f>
        <v>7.0000000000000007E-2</v>
      </c>
      <c r="L371" s="2">
        <f>SUMIFS($T$2:$T$10,$R$2:$R$10,F371)</f>
        <v>0</v>
      </c>
      <c r="M371" s="2">
        <f>SUMIFS($V$2:$V$10,$R$2:$R$10,D371)</f>
        <v>0.06</v>
      </c>
    </row>
    <row r="372" spans="1:13" x14ac:dyDescent="0.25">
      <c r="A372" s="2">
        <f>(A$2+A$2*K372+A$2*M372)*(1+L372)</f>
        <v>606.61440000000005</v>
      </c>
      <c r="B372" s="2">
        <f>(B$2+B$2*K372+B$2*M372)*(1+L372)</f>
        <v>705.5748000000001</v>
      </c>
      <c r="C372" s="2">
        <f>(C$2+C$2*K372+C$2*M372)*(1+L372)</f>
        <v>741.56039999999996</v>
      </c>
      <c r="D372" s="2">
        <v>7</v>
      </c>
      <c r="E372" s="2">
        <v>1</v>
      </c>
      <c r="F372" s="2">
        <v>3</v>
      </c>
      <c r="G372" s="2">
        <f>SUMIFS($S$2:$S$10,$R$2:$R$10,D372)</f>
        <v>20</v>
      </c>
      <c r="H372" s="2">
        <f>SUMIFS($S$2:$S$10,$R$2:$R$10,E372)</f>
        <v>1</v>
      </c>
      <c r="I372" s="2">
        <f>SUMIFS($S$2:$S$10,$R$2:$R$10,F372)</f>
        <v>4</v>
      </c>
      <c r="J372" s="2">
        <f>SUM(G372:I372)</f>
        <v>25</v>
      </c>
      <c r="K372" s="2">
        <f>SUMIFS($U$2:$U$10,$R$2:$R$10,E372)</f>
        <v>0.01</v>
      </c>
      <c r="L372" s="2">
        <f>SUMIFS($T$2:$T$10,$R$2:$R$10,F372)</f>
        <v>0.19</v>
      </c>
      <c r="M372" s="2">
        <f>SUMIFS($V$2:$V$10,$R$2:$R$10,D372)</f>
        <v>7.0000000000000007E-2</v>
      </c>
    </row>
    <row r="373" spans="1:13" x14ac:dyDescent="0.25">
      <c r="A373" s="2">
        <f>(A$2+A$2*K373+A$2*M373)*(1+L373)</f>
        <v>586.69600000000003</v>
      </c>
      <c r="B373" s="2">
        <f>(B$2+B$2*K373+B$2*M373)*(1+L373)</f>
        <v>682.40700000000004</v>
      </c>
      <c r="C373" s="2">
        <f>(C$2+C$2*K373+C$2*M373)*(1+L373)</f>
        <v>717.2109999999999</v>
      </c>
      <c r="D373" s="2">
        <v>7</v>
      </c>
      <c r="E373" s="2">
        <v>3</v>
      </c>
      <c r="F373" s="2">
        <v>1</v>
      </c>
      <c r="G373" s="2">
        <f>SUMIFS($S$2:$S$10,$R$2:$R$10,D373)</f>
        <v>20</v>
      </c>
      <c r="H373" s="2">
        <f>SUMIFS($S$2:$S$10,$R$2:$R$10,E373)</f>
        <v>4</v>
      </c>
      <c r="I373" s="2">
        <f>SUMIFS($S$2:$S$10,$R$2:$R$10,F373)</f>
        <v>1</v>
      </c>
      <c r="J373" s="2">
        <f>SUM(G373:I373)</f>
        <v>25</v>
      </c>
      <c r="K373" s="2">
        <f>SUMIFS($U$2:$U$10,$R$2:$R$10,E373)</f>
        <v>0.03</v>
      </c>
      <c r="L373" s="2">
        <f>SUMIFS($T$2:$T$10,$R$2:$R$10,F373)</f>
        <v>0.13</v>
      </c>
      <c r="M373" s="2">
        <f>SUMIFS($V$2:$V$10,$R$2:$R$10,D373)</f>
        <v>7.0000000000000007E-2</v>
      </c>
    </row>
    <row r="374" spans="1:13" x14ac:dyDescent="0.25">
      <c r="A374" s="1">
        <f>(A$2+A$2*K374+A$2*L374)*(1+M374)</f>
        <v>660.42240000000015</v>
      </c>
      <c r="B374" s="1">
        <f>(B$2+B$2*K374+B$2*L374)*(1+M374)</f>
        <v>768.16080000000011</v>
      </c>
      <c r="C374" s="1">
        <f>(C$2+C$2*K374+C$2*L374)*(1+M374)</f>
        <v>807.33840000000009</v>
      </c>
      <c r="D374" s="1">
        <v>6</v>
      </c>
      <c r="E374" s="1">
        <v>1</v>
      </c>
      <c r="F374" s="1">
        <v>5</v>
      </c>
      <c r="G374" s="1">
        <f>SUMIFS($S$2:$S$10,$R$2:$R$10,D374)</f>
        <v>15</v>
      </c>
      <c r="H374" s="1">
        <f>SUMIFS($S$2:$S$10,$R$2:$R$10,E374)</f>
        <v>1</v>
      </c>
      <c r="I374" s="1">
        <f>SUMIFS($S$2:$S$10,$R$2:$R$10,F374)</f>
        <v>10</v>
      </c>
      <c r="J374" s="1">
        <f>SUM(G374:I374)</f>
        <v>26</v>
      </c>
      <c r="K374" s="1">
        <f>SUMIFS($U$2:$U$10,$R$2:$R$10,E374)</f>
        <v>0.01</v>
      </c>
      <c r="L374" s="1">
        <f>SUMIFS($V$2:$V$10,$R$2:$R$10,F374)</f>
        <v>0.05</v>
      </c>
      <c r="M374" s="1">
        <f>SUMIFS($T$2:$T$10,$R$2:$R$10,D374)</f>
        <v>0.32</v>
      </c>
    </row>
    <row r="375" spans="1:13" x14ac:dyDescent="0.25">
      <c r="A375" s="1">
        <f>(A$2+A$2*K375+A$2*L375)*(1+M375)</f>
        <v>666.65280000000007</v>
      </c>
      <c r="B375" s="1">
        <f>(B$2+B$2*K375+B$2*L375)*(1+M375)</f>
        <v>775.40760000000012</v>
      </c>
      <c r="C375" s="1">
        <f>(C$2+C$2*K375+C$2*L375)*(1+M375)</f>
        <v>814.95479999999998</v>
      </c>
      <c r="D375" s="1">
        <v>6</v>
      </c>
      <c r="E375" s="1">
        <v>3</v>
      </c>
      <c r="F375" s="1">
        <v>4</v>
      </c>
      <c r="G375" s="1">
        <f>SUMIFS($S$2:$S$10,$R$2:$R$10,D375)</f>
        <v>15</v>
      </c>
      <c r="H375" s="1">
        <f>SUMIFS($S$2:$S$10,$R$2:$R$10,E375)</f>
        <v>4</v>
      </c>
      <c r="I375" s="1">
        <f>SUMIFS($S$2:$S$10,$R$2:$R$10,F375)</f>
        <v>7</v>
      </c>
      <c r="J375" s="1">
        <f>SUM(G375:I375)</f>
        <v>26</v>
      </c>
      <c r="K375" s="1">
        <f>SUMIFS($U$2:$U$10,$R$2:$R$10,E375)</f>
        <v>0.03</v>
      </c>
      <c r="L375" s="1">
        <f>SUMIFS($V$2:$V$10,$R$2:$R$10,F375)</f>
        <v>0.04</v>
      </c>
      <c r="M375" s="1">
        <f>SUMIFS($T$2:$T$10,$R$2:$R$10,D375)</f>
        <v>0.32</v>
      </c>
    </row>
    <row r="376" spans="1:13" x14ac:dyDescent="0.25">
      <c r="A376" s="1">
        <f>(A$2+A$2*K376+A$2*L376)*(1+M376)</f>
        <v>672.8832000000001</v>
      </c>
      <c r="B376" s="1">
        <f>(B$2+B$2*K376+B$2*L376)*(1+M376)</f>
        <v>782.65440000000012</v>
      </c>
      <c r="C376" s="1">
        <f>(C$2+C$2*K376+C$2*L376)*(1+M376)</f>
        <v>822.57119999999998</v>
      </c>
      <c r="D376" s="1">
        <v>6</v>
      </c>
      <c r="E376" s="1">
        <v>4</v>
      </c>
      <c r="F376" s="1">
        <v>3</v>
      </c>
      <c r="G376" s="1">
        <f>SUMIFS($S$2:$S$10,$R$2:$R$10,D376)</f>
        <v>15</v>
      </c>
      <c r="H376" s="1">
        <f>SUMIFS($S$2:$S$10,$R$2:$R$10,E376)</f>
        <v>7</v>
      </c>
      <c r="I376" s="1">
        <f>SUMIFS($S$2:$S$10,$R$2:$R$10,F376)</f>
        <v>4</v>
      </c>
      <c r="J376" s="1">
        <f>SUM(G376:I376)</f>
        <v>26</v>
      </c>
      <c r="K376" s="1">
        <f>SUMIFS($U$2:$U$10,$R$2:$R$10,E376)</f>
        <v>0.05</v>
      </c>
      <c r="L376" s="1">
        <f>SUMIFS($V$2:$V$10,$R$2:$R$10,F376)</f>
        <v>0.03</v>
      </c>
      <c r="M376" s="1">
        <f>SUMIFS($T$2:$T$10,$R$2:$R$10,D376)</f>
        <v>0.32</v>
      </c>
    </row>
    <row r="377" spans="1:13" x14ac:dyDescent="0.25">
      <c r="A377" s="1">
        <f>(A$2+A$2*K377+A$2*L377)*(1+M377)</f>
        <v>672.8832000000001</v>
      </c>
      <c r="B377" s="1">
        <f>(B$2+B$2*K377+B$2*L377)*(1+M377)</f>
        <v>782.65440000000012</v>
      </c>
      <c r="C377" s="1">
        <f>(C$2+C$2*K377+C$2*L377)*(1+M377)</f>
        <v>822.57119999999998</v>
      </c>
      <c r="D377" s="1">
        <v>6</v>
      </c>
      <c r="E377" s="1">
        <v>5</v>
      </c>
      <c r="F377" s="1">
        <v>1</v>
      </c>
      <c r="G377" s="1">
        <f>SUMIFS($S$2:$S$10,$R$2:$R$10,D377)</f>
        <v>15</v>
      </c>
      <c r="H377" s="1">
        <f>SUMIFS($S$2:$S$10,$R$2:$R$10,E377)</f>
        <v>10</v>
      </c>
      <c r="I377" s="1">
        <f>SUMIFS($S$2:$S$10,$R$2:$R$10,F377)</f>
        <v>1</v>
      </c>
      <c r="J377" s="1">
        <f>SUM(G377:I377)</f>
        <v>26</v>
      </c>
      <c r="K377" s="1">
        <f>SUMIFS($U$2:$U$10,$R$2:$R$10,E377)</f>
        <v>7.0000000000000007E-2</v>
      </c>
      <c r="L377" s="1">
        <f>SUMIFS($V$2:$V$10,$R$2:$R$10,F377)</f>
        <v>0.01</v>
      </c>
      <c r="M377" s="1">
        <f>SUMIFS($T$2:$T$10,$R$2:$R$10,D377)</f>
        <v>0.32</v>
      </c>
    </row>
    <row r="378" spans="1:13" x14ac:dyDescent="0.25">
      <c r="A378" s="1">
        <f>(A$2+A$2*K378+A$2*L378)*(1+M378)</f>
        <v>678.97200000000009</v>
      </c>
      <c r="B378" s="1">
        <f>(B$2+B$2*K378+B$2*L378)*(1+M378)</f>
        <v>789.73650000000009</v>
      </c>
      <c r="C378" s="1">
        <f>(C$2+C$2*K378+C$2*L378)*(1+M378)</f>
        <v>830.01449999999988</v>
      </c>
      <c r="D378" s="1">
        <v>7</v>
      </c>
      <c r="E378" s="1">
        <v>2</v>
      </c>
      <c r="F378" s="1">
        <v>3</v>
      </c>
      <c r="G378" s="1">
        <f>SUMIFS($S$2:$S$10,$R$2:$R$10,D378)</f>
        <v>20</v>
      </c>
      <c r="H378" s="1">
        <f>SUMIFS($S$2:$S$10,$R$2:$R$10,E378)</f>
        <v>2</v>
      </c>
      <c r="I378" s="1">
        <f>SUMIFS($S$2:$S$10,$R$2:$R$10,F378)</f>
        <v>4</v>
      </c>
      <c r="J378" s="1">
        <f>SUM(G378:I378)</f>
        <v>26</v>
      </c>
      <c r="K378" s="1">
        <f>SUMIFS($U$2:$U$10,$R$2:$R$10,E378)</f>
        <v>0.02</v>
      </c>
      <c r="L378" s="1">
        <f>SUMIFS($V$2:$V$10,$R$2:$R$10,F378)</f>
        <v>0.03</v>
      </c>
      <c r="M378" s="1">
        <f>SUMIFS($T$2:$T$10,$R$2:$R$10,D378)</f>
        <v>0.37</v>
      </c>
    </row>
    <row r="379" spans="1:13" x14ac:dyDescent="0.25">
      <c r="A379" s="1">
        <f>(A$2+A$2*K379+A$2*L379)*(1+M379)</f>
        <v>678.97200000000009</v>
      </c>
      <c r="B379" s="1">
        <f>(B$2+B$2*K379+B$2*L379)*(1+M379)</f>
        <v>789.73650000000009</v>
      </c>
      <c r="C379" s="1">
        <f>(C$2+C$2*K379+C$2*L379)*(1+M379)</f>
        <v>830.01449999999988</v>
      </c>
      <c r="D379" s="1">
        <v>7</v>
      </c>
      <c r="E379" s="1">
        <v>3</v>
      </c>
      <c r="F379" s="1">
        <v>2</v>
      </c>
      <c r="G379" s="1">
        <f>SUMIFS($S$2:$S$10,$R$2:$R$10,D379)</f>
        <v>20</v>
      </c>
      <c r="H379" s="1">
        <f>SUMIFS($S$2:$S$10,$R$2:$R$10,E379)</f>
        <v>4</v>
      </c>
      <c r="I379" s="1">
        <f>SUMIFS($S$2:$S$10,$R$2:$R$10,F379)</f>
        <v>2</v>
      </c>
      <c r="J379" s="1">
        <f>SUM(G379:I379)</f>
        <v>26</v>
      </c>
      <c r="K379" s="1">
        <f>SUMIFS($U$2:$U$10,$R$2:$R$10,E379)</f>
        <v>0.03</v>
      </c>
      <c r="L379" s="1">
        <f>SUMIFS($V$2:$V$10,$R$2:$R$10,F379)</f>
        <v>0.02</v>
      </c>
      <c r="M379" s="1">
        <f>SUMIFS($T$2:$T$10,$R$2:$R$10,D379)</f>
        <v>0.37</v>
      </c>
    </row>
    <row r="380" spans="1:13" x14ac:dyDescent="0.25">
      <c r="A380" s="3">
        <f>(A$2+A$2*M380+A$2*L380)*(1+K380)</f>
        <v>608.03039999999999</v>
      </c>
      <c r="B380" s="3">
        <f>(B$2+B$2*M380+B$2*L380)*(1+K380)</f>
        <v>707.22179999999992</v>
      </c>
      <c r="C380" s="3">
        <f>(C$2+C$2*M380+C$2*L380)*(1+K380)</f>
        <v>743.29139999999995</v>
      </c>
      <c r="D380" s="3">
        <v>6</v>
      </c>
      <c r="E380" s="3">
        <v>1</v>
      </c>
      <c r="F380" s="3">
        <v>5</v>
      </c>
      <c r="G380" s="3">
        <f>SUMIFS($S$2:$S$10,$R$2:$R$10,D380)</f>
        <v>15</v>
      </c>
      <c r="H380" s="3">
        <f>SUMIFS($S$2:$S$10,$R$2:$R$10,E380)</f>
        <v>1</v>
      </c>
      <c r="I380" s="3">
        <f>SUMIFS($S$2:$S$10,$R$2:$R$10,F380)</f>
        <v>10</v>
      </c>
      <c r="J380" s="3">
        <f>SUM(G380:I380)</f>
        <v>26</v>
      </c>
      <c r="K380" s="3">
        <f>SUMIFS($T$2:$T$10,$R$2:$R$10,E380)</f>
        <v>0.13</v>
      </c>
      <c r="L380" s="3">
        <f>SUMIFS($V$2:$V$10,$R$2:$R$10,F380)</f>
        <v>0.05</v>
      </c>
      <c r="M380" s="3">
        <f>SUMIFS($U$2:$U$10,$R$2:$R$10,D380)</f>
        <v>0.09</v>
      </c>
    </row>
    <row r="381" spans="1:13" x14ac:dyDescent="0.25">
      <c r="A381" s="3">
        <f>(A$2+A$2*M381+A$2*L381)*(1+K381)</f>
        <v>634.69839999999999</v>
      </c>
      <c r="B381" s="3">
        <f>(B$2+B$2*M381+B$2*L381)*(1+K381)</f>
        <v>738.24029999999993</v>
      </c>
      <c r="C381" s="3">
        <f>(C$2+C$2*M381+C$2*L381)*(1+K381)</f>
        <v>775.89189999999996</v>
      </c>
      <c r="D381" s="3">
        <v>6</v>
      </c>
      <c r="E381" s="3">
        <v>3</v>
      </c>
      <c r="F381" s="3">
        <v>4</v>
      </c>
      <c r="G381" s="3">
        <f>SUMIFS($S$2:$S$10,$R$2:$R$10,D381)</f>
        <v>15</v>
      </c>
      <c r="H381" s="3">
        <f>SUMIFS($S$2:$S$10,$R$2:$R$10,E381)</f>
        <v>4</v>
      </c>
      <c r="I381" s="3">
        <f>SUMIFS($S$2:$S$10,$R$2:$R$10,F381)</f>
        <v>7</v>
      </c>
      <c r="J381" s="3">
        <f>SUM(G381:I381)</f>
        <v>26</v>
      </c>
      <c r="K381" s="3">
        <f>SUMIFS($T$2:$T$10,$R$2:$R$10,E381)</f>
        <v>0.19</v>
      </c>
      <c r="L381" s="3">
        <f>SUMIFS($V$2:$V$10,$R$2:$R$10,F381)</f>
        <v>0.04</v>
      </c>
      <c r="M381" s="3">
        <f>SUMIFS($U$2:$U$10,$R$2:$R$10,D381)</f>
        <v>0.09</v>
      </c>
    </row>
    <row r="382" spans="1:13" x14ac:dyDescent="0.25">
      <c r="A382" s="3">
        <f>(A$2+A$2*M382+A$2*L382)*(1+K382)</f>
        <v>644.94079999999997</v>
      </c>
      <c r="B382" s="3">
        <f>(B$2+B$2*M382+B$2*L382)*(1+K382)</f>
        <v>750.15359999999998</v>
      </c>
      <c r="C382" s="3">
        <f>(C$2+C$2*M382+C$2*L382)*(1+K382)</f>
        <v>788.41279999999983</v>
      </c>
      <c r="D382" s="3">
        <v>6</v>
      </c>
      <c r="E382" s="3">
        <v>4</v>
      </c>
      <c r="F382" s="3">
        <v>3</v>
      </c>
      <c r="G382" s="3">
        <f>SUMIFS($S$2:$S$10,$R$2:$R$10,D382)</f>
        <v>15</v>
      </c>
      <c r="H382" s="3">
        <f>SUMIFS($S$2:$S$10,$R$2:$R$10,E382)</f>
        <v>7</v>
      </c>
      <c r="I382" s="3">
        <f>SUMIFS($S$2:$S$10,$R$2:$R$10,F382)</f>
        <v>4</v>
      </c>
      <c r="J382" s="3">
        <f>SUM(G382:I382)</f>
        <v>26</v>
      </c>
      <c r="K382" s="3">
        <f>SUMIFS($T$2:$T$10,$R$2:$R$10,E382)</f>
        <v>0.22</v>
      </c>
      <c r="L382" s="3">
        <f>SUMIFS($V$2:$V$10,$R$2:$R$10,F382)</f>
        <v>0.03</v>
      </c>
      <c r="M382" s="3">
        <f>SUMIFS($U$2:$U$10,$R$2:$R$10,D382)</f>
        <v>0.09</v>
      </c>
    </row>
    <row r="383" spans="1:13" x14ac:dyDescent="0.25">
      <c r="A383" s="3">
        <f>(A$2+A$2*M383+A$2*L383)*(1+K383)</f>
        <v>659.38400000000001</v>
      </c>
      <c r="B383" s="3">
        <f>(B$2+B$2*M383+B$2*L383)*(1+K383)</f>
        <v>766.95299999999997</v>
      </c>
      <c r="C383" s="3">
        <f>(C$2+C$2*M383+C$2*L383)*(1+K383)</f>
        <v>806.06899999999996</v>
      </c>
      <c r="D383" s="3">
        <v>6</v>
      </c>
      <c r="E383" s="3">
        <v>5</v>
      </c>
      <c r="F383" s="3">
        <v>1</v>
      </c>
      <c r="G383" s="3">
        <f>SUMIFS($S$2:$S$10,$R$2:$R$10,D383)</f>
        <v>15</v>
      </c>
      <c r="H383" s="3">
        <f>SUMIFS($S$2:$S$10,$R$2:$R$10,E383)</f>
        <v>10</v>
      </c>
      <c r="I383" s="3">
        <f>SUMIFS($S$2:$S$10,$R$2:$R$10,F383)</f>
        <v>1</v>
      </c>
      <c r="J383" s="3">
        <f>SUM(G383:I383)</f>
        <v>26</v>
      </c>
      <c r="K383" s="3">
        <f>SUMIFS($T$2:$T$10,$R$2:$R$10,E383)</f>
        <v>0.27</v>
      </c>
      <c r="L383" s="3">
        <f>SUMIFS($V$2:$V$10,$R$2:$R$10,F383)</f>
        <v>0.01</v>
      </c>
      <c r="M383" s="3">
        <f>SUMIFS($U$2:$U$10,$R$2:$R$10,D383)</f>
        <v>0.09</v>
      </c>
    </row>
    <row r="384" spans="1:13" x14ac:dyDescent="0.25">
      <c r="A384" s="3">
        <f>(A$2+A$2*M384+A$2*L384)*(1+K384)</f>
        <v>624.17279999999982</v>
      </c>
      <c r="B384" s="3">
        <f>(B$2+B$2*M384+B$2*L384)*(1+K384)</f>
        <v>725.99759999999992</v>
      </c>
      <c r="C384" s="3">
        <f>(C$2+C$2*M384+C$2*L384)*(1+K384)</f>
        <v>763.02479999999991</v>
      </c>
      <c r="D384" s="3">
        <v>7</v>
      </c>
      <c r="E384" s="3">
        <v>2</v>
      </c>
      <c r="F384" s="3">
        <v>3</v>
      </c>
      <c r="G384" s="3">
        <f>SUMIFS($S$2:$S$10,$R$2:$R$10,D384)</f>
        <v>20</v>
      </c>
      <c r="H384" s="3">
        <f>SUMIFS($S$2:$S$10,$R$2:$R$10,E384)</f>
        <v>2</v>
      </c>
      <c r="I384" s="3">
        <f>SUMIFS($S$2:$S$10,$R$2:$R$10,F384)</f>
        <v>4</v>
      </c>
      <c r="J384" s="3">
        <f>SUM(G384:I384)</f>
        <v>26</v>
      </c>
      <c r="K384" s="3">
        <f>SUMIFS($T$2:$T$10,$R$2:$R$10,E384)</f>
        <v>0.16</v>
      </c>
      <c r="L384" s="3">
        <f>SUMIFS($V$2:$V$10,$R$2:$R$10,F384)</f>
        <v>0.03</v>
      </c>
      <c r="M384" s="3">
        <f>SUMIFS($U$2:$U$10,$R$2:$R$10,D384)</f>
        <v>0.11</v>
      </c>
    </row>
    <row r="385" spans="1:13" x14ac:dyDescent="0.25">
      <c r="A385" s="3">
        <f>(A$2+A$2*M385+A$2*L385)*(1+K385)</f>
        <v>634.69839999999999</v>
      </c>
      <c r="B385" s="3">
        <f>(B$2+B$2*M385+B$2*L385)*(1+K385)</f>
        <v>738.24029999999993</v>
      </c>
      <c r="C385" s="3">
        <f>(C$2+C$2*M385+C$2*L385)*(1+K385)</f>
        <v>775.89189999999996</v>
      </c>
      <c r="D385" s="3">
        <v>7</v>
      </c>
      <c r="E385" s="3">
        <v>3</v>
      </c>
      <c r="F385" s="3">
        <v>2</v>
      </c>
      <c r="G385" s="3">
        <f>SUMIFS($S$2:$S$10,$R$2:$R$10,D385)</f>
        <v>20</v>
      </c>
      <c r="H385" s="3">
        <f>SUMIFS($S$2:$S$10,$R$2:$R$10,E385)</f>
        <v>4</v>
      </c>
      <c r="I385" s="3">
        <f>SUMIFS($S$2:$S$10,$R$2:$R$10,F385)</f>
        <v>2</v>
      </c>
      <c r="J385" s="3">
        <f>SUM(G385:I385)</f>
        <v>26</v>
      </c>
      <c r="K385" s="3">
        <f>SUMIFS($T$2:$T$10,$R$2:$R$10,E385)</f>
        <v>0.19</v>
      </c>
      <c r="L385" s="3">
        <f>SUMIFS($V$2:$V$10,$R$2:$R$10,F385)</f>
        <v>0.02</v>
      </c>
      <c r="M385" s="3">
        <f>SUMIFS($U$2:$U$10,$R$2:$R$10,D385)</f>
        <v>0.11</v>
      </c>
    </row>
    <row r="386" spans="1:13" x14ac:dyDescent="0.25">
      <c r="A386" s="2">
        <f>(A$2+A$2*K386+A$2*M386)*(1+L386)</f>
        <v>641.4008</v>
      </c>
      <c r="B386" s="2">
        <f>(B$2+B$2*K386+B$2*M386)*(1+L386)</f>
        <v>746.03610000000015</v>
      </c>
      <c r="C386" s="2">
        <f>(C$2+C$2*K386+C$2*M386)*(1+L386)</f>
        <v>784.08529999999996</v>
      </c>
      <c r="D386" s="2">
        <v>6</v>
      </c>
      <c r="E386" s="2">
        <v>1</v>
      </c>
      <c r="F386" s="2">
        <v>5</v>
      </c>
      <c r="G386" s="2">
        <f>SUMIFS($S$2:$S$10,$R$2:$R$10,D386)</f>
        <v>15</v>
      </c>
      <c r="H386" s="2">
        <f>SUMIFS($S$2:$S$10,$R$2:$R$10,E386)</f>
        <v>1</v>
      </c>
      <c r="I386" s="2">
        <f>SUMIFS($S$2:$S$10,$R$2:$R$10,F386)</f>
        <v>10</v>
      </c>
      <c r="J386" s="2">
        <f>SUM(G386:I386)</f>
        <v>26</v>
      </c>
      <c r="K386" s="2">
        <f>SUMIFS($U$2:$U$10,$R$2:$R$10,E386)</f>
        <v>0.01</v>
      </c>
      <c r="L386" s="2">
        <f>SUMIFS($T$2:$T$10,$R$2:$R$10,F386)</f>
        <v>0.27</v>
      </c>
      <c r="M386" s="2">
        <f>SUMIFS($V$2:$V$10,$R$2:$R$10,D386)</f>
        <v>0.06</v>
      </c>
    </row>
    <row r="387" spans="1:13" x14ac:dyDescent="0.25">
      <c r="A387" s="2">
        <f>(A$2+A$2*K387+A$2*M387)*(1+L387)</f>
        <v>627.66560000000004</v>
      </c>
      <c r="B387" s="2">
        <f>(B$2+B$2*K387+B$2*M387)*(1+L387)</f>
        <v>730.06020000000012</v>
      </c>
      <c r="C387" s="2">
        <f>(C$2+C$2*K387+C$2*M387)*(1+L387)</f>
        <v>767.29459999999995</v>
      </c>
      <c r="D387" s="2">
        <v>6</v>
      </c>
      <c r="E387" s="2">
        <v>3</v>
      </c>
      <c r="F387" s="2">
        <v>4</v>
      </c>
      <c r="G387" s="2">
        <f>SUMIFS($S$2:$S$10,$R$2:$R$10,D387)</f>
        <v>15</v>
      </c>
      <c r="H387" s="2">
        <f>SUMIFS($S$2:$S$10,$R$2:$R$10,E387)</f>
        <v>4</v>
      </c>
      <c r="I387" s="2">
        <f>SUMIFS($S$2:$S$10,$R$2:$R$10,F387)</f>
        <v>7</v>
      </c>
      <c r="J387" s="2">
        <f>SUM(G387:I387)</f>
        <v>26</v>
      </c>
      <c r="K387" s="2">
        <f>SUMIFS($U$2:$U$10,$R$2:$R$10,E387)</f>
        <v>0.03</v>
      </c>
      <c r="L387" s="2">
        <f>SUMIFS($T$2:$T$10,$R$2:$R$10,F387)</f>
        <v>0.22</v>
      </c>
      <c r="M387" s="2">
        <f>SUMIFS($V$2:$V$10,$R$2:$R$10,D387)</f>
        <v>0.06</v>
      </c>
    </row>
    <row r="388" spans="1:13" x14ac:dyDescent="0.25">
      <c r="A388" s="2">
        <f>(A$2+A$2*K388+A$2*M388)*(1+L388)</f>
        <v>623.46480000000008</v>
      </c>
      <c r="B388" s="2">
        <f>(B$2+B$2*K388+B$2*M388)*(1+L388)</f>
        <v>725.17410000000007</v>
      </c>
      <c r="C388" s="2">
        <f>(C$2+C$2*K388+C$2*M388)*(1+L388)</f>
        <v>762.15930000000003</v>
      </c>
      <c r="D388" s="2">
        <v>6</v>
      </c>
      <c r="E388" s="2">
        <v>4</v>
      </c>
      <c r="F388" s="2">
        <v>3</v>
      </c>
      <c r="G388" s="2">
        <f>SUMIFS($S$2:$S$10,$R$2:$R$10,D388)</f>
        <v>15</v>
      </c>
      <c r="H388" s="2">
        <f>SUMIFS($S$2:$S$10,$R$2:$R$10,E388)</f>
        <v>7</v>
      </c>
      <c r="I388" s="2">
        <f>SUMIFS($S$2:$S$10,$R$2:$R$10,F388)</f>
        <v>4</v>
      </c>
      <c r="J388" s="2">
        <f>SUM(G388:I388)</f>
        <v>26</v>
      </c>
      <c r="K388" s="2">
        <f>SUMIFS($U$2:$U$10,$R$2:$R$10,E388)</f>
        <v>0.05</v>
      </c>
      <c r="L388" s="2">
        <f>SUMIFS($T$2:$T$10,$R$2:$R$10,F388)</f>
        <v>0.19</v>
      </c>
      <c r="M388" s="2">
        <f>SUMIFS($V$2:$V$10,$R$2:$R$10,D388)</f>
        <v>0.06</v>
      </c>
    </row>
    <row r="389" spans="1:13" x14ac:dyDescent="0.25">
      <c r="A389" s="2">
        <f>(A$2+A$2*K389+A$2*M389)*(1+L389)</f>
        <v>602.69679999999994</v>
      </c>
      <c r="B389" s="2">
        <f>(B$2+B$2*K389+B$2*M389)*(1+L389)</f>
        <v>701.01810000000012</v>
      </c>
      <c r="C389" s="2">
        <f>(C$2+C$2*K389+C$2*M389)*(1+L389)</f>
        <v>736.77129999999988</v>
      </c>
      <c r="D389" s="2">
        <v>6</v>
      </c>
      <c r="E389" s="2">
        <v>5</v>
      </c>
      <c r="F389" s="2">
        <v>1</v>
      </c>
      <c r="G389" s="2">
        <f>SUMIFS($S$2:$S$10,$R$2:$R$10,D389)</f>
        <v>15</v>
      </c>
      <c r="H389" s="2">
        <f>SUMIFS($S$2:$S$10,$R$2:$R$10,E389)</f>
        <v>10</v>
      </c>
      <c r="I389" s="2">
        <f>SUMIFS($S$2:$S$10,$R$2:$R$10,F389)</f>
        <v>1</v>
      </c>
      <c r="J389" s="2">
        <f>SUM(G389:I389)</f>
        <v>26</v>
      </c>
      <c r="K389" s="2">
        <f>SUMIFS($U$2:$U$10,$R$2:$R$10,E389)</f>
        <v>7.0000000000000007E-2</v>
      </c>
      <c r="L389" s="2">
        <f>SUMIFS($T$2:$T$10,$R$2:$R$10,F389)</f>
        <v>0.13</v>
      </c>
      <c r="M389" s="2">
        <f>SUMIFS($V$2:$V$10,$R$2:$R$10,D389)</f>
        <v>0.06</v>
      </c>
    </row>
    <row r="390" spans="1:13" x14ac:dyDescent="0.25">
      <c r="A390" s="2">
        <f>(A$2+A$2*K390+A$2*M390)*(1+L390)</f>
        <v>612.23119999999994</v>
      </c>
      <c r="B390" s="2">
        <f>(B$2+B$2*K390+B$2*M390)*(1+L390)</f>
        <v>712.10790000000009</v>
      </c>
      <c r="C390" s="2">
        <f>(C$2+C$2*K390+C$2*M390)*(1+L390)</f>
        <v>748.42669999999987</v>
      </c>
      <c r="D390" s="2">
        <v>7</v>
      </c>
      <c r="E390" s="2">
        <v>2</v>
      </c>
      <c r="F390" s="2">
        <v>3</v>
      </c>
      <c r="G390" s="2">
        <f>SUMIFS($S$2:$S$10,$R$2:$R$10,D390)</f>
        <v>20</v>
      </c>
      <c r="H390" s="2">
        <f>SUMIFS($S$2:$S$10,$R$2:$R$10,E390)</f>
        <v>2</v>
      </c>
      <c r="I390" s="2">
        <f>SUMIFS($S$2:$S$10,$R$2:$R$10,F390)</f>
        <v>4</v>
      </c>
      <c r="J390" s="2">
        <f>SUM(G390:I390)</f>
        <v>26</v>
      </c>
      <c r="K390" s="2">
        <f>SUMIFS($U$2:$U$10,$R$2:$R$10,E390)</f>
        <v>0.02</v>
      </c>
      <c r="L390" s="2">
        <f>SUMIFS($T$2:$T$10,$R$2:$R$10,F390)</f>
        <v>0.19</v>
      </c>
      <c r="M390" s="2">
        <f>SUMIFS($V$2:$V$10,$R$2:$R$10,D390)</f>
        <v>7.0000000000000007E-2</v>
      </c>
    </row>
    <row r="391" spans="1:13" x14ac:dyDescent="0.25">
      <c r="A391" s="2">
        <f>(A$2+A$2*K391+A$2*M391)*(1+L391)</f>
        <v>602.27200000000005</v>
      </c>
      <c r="B391" s="2">
        <f>(B$2+B$2*K391+B$2*M391)*(1+L391)</f>
        <v>700.524</v>
      </c>
      <c r="C391" s="2">
        <f>(C$2+C$2*K391+C$2*M391)*(1+L391)</f>
        <v>736.25199999999984</v>
      </c>
      <c r="D391" s="2">
        <v>7</v>
      </c>
      <c r="E391" s="2">
        <v>3</v>
      </c>
      <c r="F391" s="2">
        <v>2</v>
      </c>
      <c r="G391" s="2">
        <f>SUMIFS($S$2:$S$10,$R$2:$R$10,D391)</f>
        <v>20</v>
      </c>
      <c r="H391" s="2">
        <f>SUMIFS($S$2:$S$10,$R$2:$R$10,E391)</f>
        <v>4</v>
      </c>
      <c r="I391" s="2">
        <f>SUMIFS($S$2:$S$10,$R$2:$R$10,F391)</f>
        <v>2</v>
      </c>
      <c r="J391" s="2">
        <f>SUM(G391:I391)</f>
        <v>26</v>
      </c>
      <c r="K391" s="2">
        <f>SUMIFS($U$2:$U$10,$R$2:$R$10,E391)</f>
        <v>0.03</v>
      </c>
      <c r="L391" s="2">
        <f>SUMIFS($T$2:$T$10,$R$2:$R$10,F391)</f>
        <v>0.16</v>
      </c>
      <c r="M391" s="2">
        <f>SUMIFS($V$2:$V$10,$R$2:$R$10,D391)</f>
        <v>7.0000000000000007E-2</v>
      </c>
    </row>
    <row r="392" spans="1:13" x14ac:dyDescent="0.25">
      <c r="A392" s="1">
        <f>(A$2+A$2*K392+A$2*L392)*(1+M392)</f>
        <v>659.38400000000001</v>
      </c>
      <c r="B392" s="1">
        <f>(B$2+B$2*K392+B$2*L392)*(1+M392)</f>
        <v>766.95300000000009</v>
      </c>
      <c r="C392" s="1">
        <f>(C$2+C$2*K392+C$2*L392)*(1+M392)</f>
        <v>806.06900000000007</v>
      </c>
      <c r="D392" s="1">
        <v>5</v>
      </c>
      <c r="E392" s="1">
        <v>4</v>
      </c>
      <c r="F392" s="1">
        <v>5</v>
      </c>
      <c r="G392" s="1">
        <f>SUMIFS($S$2:$S$10,$R$2:$R$10,D392)</f>
        <v>10</v>
      </c>
      <c r="H392" s="1">
        <f>SUMIFS($S$2:$S$10,$R$2:$R$10,E392)</f>
        <v>7</v>
      </c>
      <c r="I392" s="1">
        <f>SUMIFS($S$2:$S$10,$R$2:$R$10,F392)</f>
        <v>10</v>
      </c>
      <c r="J392" s="1">
        <f>SUM(G392:I392)</f>
        <v>27</v>
      </c>
      <c r="K392" s="1">
        <f>SUMIFS($U$2:$U$10,$R$2:$R$10,E392)</f>
        <v>0.05</v>
      </c>
      <c r="L392" s="1">
        <f>SUMIFS($V$2:$V$10,$R$2:$R$10,F392)</f>
        <v>0.05</v>
      </c>
      <c r="M392" s="1">
        <f>SUMIFS($T$2:$T$10,$R$2:$R$10,D392)</f>
        <v>0.27</v>
      </c>
    </row>
    <row r="393" spans="1:13" x14ac:dyDescent="0.25">
      <c r="A393" s="1">
        <f>(A$2+A$2*K393+A$2*L393)*(1+M393)</f>
        <v>665.37840000000006</v>
      </c>
      <c r="B393" s="1">
        <f>(B$2+B$2*K393+B$2*L393)*(1+M393)</f>
        <v>773.92530000000011</v>
      </c>
      <c r="C393" s="1">
        <f>(C$2+C$2*K393+C$2*L393)*(1+M393)</f>
        <v>813.39690000000007</v>
      </c>
      <c r="D393" s="1">
        <v>5</v>
      </c>
      <c r="E393" s="1">
        <v>5</v>
      </c>
      <c r="F393" s="1">
        <v>4</v>
      </c>
      <c r="G393" s="1">
        <f>SUMIFS($S$2:$S$10,$R$2:$R$10,D393)</f>
        <v>10</v>
      </c>
      <c r="H393" s="1">
        <f>SUMIFS($S$2:$S$10,$R$2:$R$10,E393)</f>
        <v>10</v>
      </c>
      <c r="I393" s="1">
        <f>SUMIFS($S$2:$S$10,$R$2:$R$10,F393)</f>
        <v>7</v>
      </c>
      <c r="J393" s="1">
        <f>SUM(G393:I393)</f>
        <v>27</v>
      </c>
      <c r="K393" s="1">
        <f>SUMIFS($U$2:$U$10,$R$2:$R$10,E393)</f>
        <v>7.0000000000000007E-2</v>
      </c>
      <c r="L393" s="1">
        <f>SUMIFS($V$2:$V$10,$R$2:$R$10,F393)</f>
        <v>0.04</v>
      </c>
      <c r="M393" s="1">
        <f>SUMIFS($T$2:$T$10,$R$2:$R$10,D393)</f>
        <v>0.27</v>
      </c>
    </row>
    <row r="394" spans="1:13" x14ac:dyDescent="0.25">
      <c r="A394" s="1">
        <f>(A$2+A$2*K394+A$2*L394)*(1+M394)</f>
        <v>666.65280000000007</v>
      </c>
      <c r="B394" s="1">
        <f>(B$2+B$2*K394+B$2*L394)*(1+M394)</f>
        <v>775.40760000000012</v>
      </c>
      <c r="C394" s="1">
        <f>(C$2+C$2*K394+C$2*L394)*(1+M394)</f>
        <v>814.95479999999998</v>
      </c>
      <c r="D394" s="1">
        <v>6</v>
      </c>
      <c r="E394" s="1">
        <v>2</v>
      </c>
      <c r="F394" s="1">
        <v>5</v>
      </c>
      <c r="G394" s="1">
        <f>SUMIFS($S$2:$S$10,$R$2:$R$10,D394)</f>
        <v>15</v>
      </c>
      <c r="H394" s="1">
        <f>SUMIFS($S$2:$S$10,$R$2:$R$10,E394)</f>
        <v>2</v>
      </c>
      <c r="I394" s="1">
        <f>SUMIFS($S$2:$S$10,$R$2:$R$10,F394)</f>
        <v>10</v>
      </c>
      <c r="J394" s="1">
        <f>SUM(G394:I394)</f>
        <v>27</v>
      </c>
      <c r="K394" s="1">
        <f>SUMIFS($U$2:$U$10,$R$2:$R$10,E394)</f>
        <v>0.02</v>
      </c>
      <c r="L394" s="1">
        <f>SUMIFS($V$2:$V$10,$R$2:$R$10,F394)</f>
        <v>0.05</v>
      </c>
      <c r="M394" s="1">
        <f>SUMIFS($T$2:$T$10,$R$2:$R$10,D394)</f>
        <v>0.32</v>
      </c>
    </row>
    <row r="395" spans="1:13" x14ac:dyDescent="0.25">
      <c r="A395" s="1">
        <f>(A$2+A$2*K395+A$2*L395)*(1+M395)</f>
        <v>679.11360000000002</v>
      </c>
      <c r="B395" s="1">
        <f>(B$2+B$2*K395+B$2*L395)*(1+M395)</f>
        <v>789.90120000000013</v>
      </c>
      <c r="C395" s="1">
        <f>(C$2+C$2*K395+C$2*L395)*(1+M395)</f>
        <v>830.18759999999997</v>
      </c>
      <c r="D395" s="1">
        <v>6</v>
      </c>
      <c r="E395" s="1">
        <v>5</v>
      </c>
      <c r="F395" s="1">
        <v>2</v>
      </c>
      <c r="G395" s="1">
        <f>SUMIFS($S$2:$S$10,$R$2:$R$10,D395)</f>
        <v>15</v>
      </c>
      <c r="H395" s="1">
        <f>SUMIFS($S$2:$S$10,$R$2:$R$10,E395)</f>
        <v>10</v>
      </c>
      <c r="I395" s="1">
        <f>SUMIFS($S$2:$S$10,$R$2:$R$10,F395)</f>
        <v>2</v>
      </c>
      <c r="J395" s="1">
        <f>SUM(G395:I395)</f>
        <v>27</v>
      </c>
      <c r="K395" s="1">
        <f>SUMIFS($U$2:$U$10,$R$2:$R$10,E395)</f>
        <v>7.0000000000000007E-2</v>
      </c>
      <c r="L395" s="1">
        <f>SUMIFS($V$2:$V$10,$R$2:$R$10,F395)</f>
        <v>0.02</v>
      </c>
      <c r="M395" s="1">
        <f>SUMIFS($T$2:$T$10,$R$2:$R$10,D395)</f>
        <v>0.32</v>
      </c>
    </row>
    <row r="396" spans="1:13" x14ac:dyDescent="0.25">
      <c r="A396" s="1">
        <f>(A$2+A$2*K396+A$2*L396)*(1+M396)</f>
        <v>672.50560000000007</v>
      </c>
      <c r="B396" s="1">
        <f>(B$2+B$2*K396+B$2*L396)*(1+M396)</f>
        <v>782.2152000000001</v>
      </c>
      <c r="C396" s="1">
        <f>(C$2+C$2*K396+C$2*L396)*(1+M396)</f>
        <v>822.10960000000011</v>
      </c>
      <c r="D396" s="1">
        <v>7</v>
      </c>
      <c r="E396" s="1">
        <v>0</v>
      </c>
      <c r="F396" s="1">
        <v>4</v>
      </c>
      <c r="G396" s="1">
        <f>SUMIFS($S$2:$S$10,$R$2:$R$10,D396)</f>
        <v>20</v>
      </c>
      <c r="H396" s="1">
        <f>SUMIFS($S$2:$S$10,$R$2:$R$10,E396)</f>
        <v>0</v>
      </c>
      <c r="I396" s="1">
        <f>SUMIFS($S$2:$S$10,$R$2:$R$10,F396)</f>
        <v>7</v>
      </c>
      <c r="J396" s="1">
        <f>SUM(G396:I396)</f>
        <v>27</v>
      </c>
      <c r="K396" s="1">
        <f>SUMIFS($U$2:$U$10,$R$2:$R$10,E396)</f>
        <v>0</v>
      </c>
      <c r="L396" s="1">
        <f>SUMIFS($V$2:$V$10,$R$2:$R$10,F396)</f>
        <v>0.04</v>
      </c>
      <c r="M396" s="1">
        <f>SUMIFS($T$2:$T$10,$R$2:$R$10,D396)</f>
        <v>0.37</v>
      </c>
    </row>
    <row r="397" spans="1:13" x14ac:dyDescent="0.25">
      <c r="A397" s="1">
        <f>(A$2+A$2*K397+A$2*L397)*(1+M397)</f>
        <v>678.97200000000009</v>
      </c>
      <c r="B397" s="1">
        <f>(B$2+B$2*K397+B$2*L397)*(1+M397)</f>
        <v>789.73650000000009</v>
      </c>
      <c r="C397" s="1">
        <f>(C$2+C$2*K397+C$2*L397)*(1+M397)</f>
        <v>830.01450000000011</v>
      </c>
      <c r="D397" s="1">
        <v>7</v>
      </c>
      <c r="E397" s="1">
        <v>4</v>
      </c>
      <c r="F397" s="1">
        <v>0</v>
      </c>
      <c r="G397" s="1">
        <f>SUMIFS($S$2:$S$10,$R$2:$R$10,D397)</f>
        <v>20</v>
      </c>
      <c r="H397" s="1">
        <f>SUMIFS($S$2:$S$10,$R$2:$R$10,E397)</f>
        <v>7</v>
      </c>
      <c r="I397" s="1">
        <f>SUMIFS($S$2:$S$10,$R$2:$R$10,F397)</f>
        <v>0</v>
      </c>
      <c r="J397" s="1">
        <f>SUM(G397:I397)</f>
        <v>27</v>
      </c>
      <c r="K397" s="1">
        <f>SUMIFS($U$2:$U$10,$R$2:$R$10,E397)</f>
        <v>0.05</v>
      </c>
      <c r="L397" s="1">
        <f>SUMIFS($V$2:$V$10,$R$2:$R$10,F397)</f>
        <v>0</v>
      </c>
      <c r="M397" s="1">
        <f>SUMIFS($T$2:$T$10,$R$2:$R$10,D397)</f>
        <v>0.37</v>
      </c>
    </row>
    <row r="398" spans="1:13" x14ac:dyDescent="0.25">
      <c r="A398" s="1">
        <f>(A$2+A$2*K398+A$2*L398)*(1+M398)</f>
        <v>674.95999999999992</v>
      </c>
      <c r="B398" s="1">
        <f>(B$2+B$2*K398+B$2*L398)*(1+M398)</f>
        <v>785.06999999999994</v>
      </c>
      <c r="C398" s="1">
        <f>(C$2+C$2*K398+C$2*L398)*(1+M398)</f>
        <v>825.11</v>
      </c>
      <c r="D398" s="1">
        <v>8</v>
      </c>
      <c r="E398" s="1">
        <v>0</v>
      </c>
      <c r="F398" s="1">
        <v>0</v>
      </c>
      <c r="G398" s="1">
        <f>SUMIFS($S$2:$S$10,$R$2:$R$10,D398)</f>
        <v>27</v>
      </c>
      <c r="H398" s="1">
        <f>SUMIFS($S$2:$S$10,$R$2:$R$10,E398)</f>
        <v>0</v>
      </c>
      <c r="I398" s="1">
        <f>SUMIFS($S$2:$S$10,$R$2:$R$10,F398)</f>
        <v>0</v>
      </c>
      <c r="J398" s="1">
        <f>SUM(G398:I398)</f>
        <v>27</v>
      </c>
      <c r="K398" s="1">
        <f>SUMIFS($U$2:$U$10,$R$2:$R$10,E398)</f>
        <v>0</v>
      </c>
      <c r="L398" s="1">
        <f>SUMIFS($V$2:$V$10,$R$2:$R$10,F398)</f>
        <v>0</v>
      </c>
      <c r="M398" s="1">
        <f>SUMIFS($T$2:$T$10,$R$2:$R$10,D398)</f>
        <v>0.43</v>
      </c>
    </row>
    <row r="399" spans="1:13" x14ac:dyDescent="0.25">
      <c r="A399" s="3">
        <f>(A$2+A$2*M399+A$2*L399)*(1+K399)</f>
        <v>644.94079999999997</v>
      </c>
      <c r="B399" s="3">
        <f>(B$2+B$2*M399+B$2*L399)*(1+K399)</f>
        <v>750.1536000000001</v>
      </c>
      <c r="C399" s="3">
        <f>(C$2+C$2*M399+C$2*L399)*(1+K399)</f>
        <v>788.41279999999995</v>
      </c>
      <c r="D399" s="3">
        <v>5</v>
      </c>
      <c r="E399" s="3">
        <v>4</v>
      </c>
      <c r="F399" s="3">
        <v>5</v>
      </c>
      <c r="G399" s="3">
        <f>SUMIFS($S$2:$S$10,$R$2:$R$10,D399)</f>
        <v>10</v>
      </c>
      <c r="H399" s="3">
        <f>SUMIFS($S$2:$S$10,$R$2:$R$10,E399)</f>
        <v>7</v>
      </c>
      <c r="I399" s="3">
        <f>SUMIFS($S$2:$S$10,$R$2:$R$10,F399)</f>
        <v>10</v>
      </c>
      <c r="J399" s="3">
        <f>SUM(G399:I399)</f>
        <v>27</v>
      </c>
      <c r="K399" s="3">
        <f>SUMIFS($T$2:$T$10,$R$2:$R$10,E399)</f>
        <v>0.22</v>
      </c>
      <c r="L399" s="3">
        <f>SUMIFS($V$2:$V$10,$R$2:$R$10,F399)</f>
        <v>0.05</v>
      </c>
      <c r="M399" s="3">
        <f>SUMIFS($U$2:$U$10,$R$2:$R$10,D399)</f>
        <v>7.0000000000000007E-2</v>
      </c>
    </row>
    <row r="400" spans="1:13" x14ac:dyDescent="0.25">
      <c r="A400" s="3">
        <f>(A$2+A$2*M400+A$2*L400)*(1+K400)</f>
        <v>665.37840000000006</v>
      </c>
      <c r="B400" s="3">
        <f>(B$2+B$2*M400+B$2*L400)*(1+K400)</f>
        <v>773.92530000000011</v>
      </c>
      <c r="C400" s="3">
        <f>(C$2+C$2*M400+C$2*L400)*(1+K400)</f>
        <v>813.39690000000007</v>
      </c>
      <c r="D400" s="3">
        <v>5</v>
      </c>
      <c r="E400" s="3">
        <v>5</v>
      </c>
      <c r="F400" s="3">
        <v>4</v>
      </c>
      <c r="G400" s="3">
        <f>SUMIFS($S$2:$S$10,$R$2:$R$10,D400)</f>
        <v>10</v>
      </c>
      <c r="H400" s="3">
        <f>SUMIFS($S$2:$S$10,$R$2:$R$10,E400)</f>
        <v>10</v>
      </c>
      <c r="I400" s="3">
        <f>SUMIFS($S$2:$S$10,$R$2:$R$10,F400)</f>
        <v>7</v>
      </c>
      <c r="J400" s="3">
        <f>SUM(G400:I400)</f>
        <v>27</v>
      </c>
      <c r="K400" s="3">
        <f>SUMIFS($T$2:$T$10,$R$2:$R$10,E400)</f>
        <v>0.27</v>
      </c>
      <c r="L400" s="3">
        <f>SUMIFS($V$2:$V$10,$R$2:$R$10,F400)</f>
        <v>0.04</v>
      </c>
      <c r="M400" s="3">
        <f>SUMIFS($U$2:$U$10,$R$2:$R$10,D400)</f>
        <v>7.0000000000000007E-2</v>
      </c>
    </row>
    <row r="401" spans="1:13" x14ac:dyDescent="0.25">
      <c r="A401" s="3">
        <f>(A$2+A$2*M401+A$2*L401)*(1+K401)</f>
        <v>624.17280000000005</v>
      </c>
      <c r="B401" s="3">
        <f>(B$2+B$2*M401+B$2*L401)*(1+K401)</f>
        <v>725.99759999999992</v>
      </c>
      <c r="C401" s="3">
        <f>(C$2+C$2*M401+C$2*L401)*(1+K401)</f>
        <v>763.02479999999991</v>
      </c>
      <c r="D401" s="3">
        <v>6</v>
      </c>
      <c r="E401" s="3">
        <v>2</v>
      </c>
      <c r="F401" s="3">
        <v>5</v>
      </c>
      <c r="G401" s="3">
        <f>SUMIFS($S$2:$S$10,$R$2:$R$10,D401)</f>
        <v>15</v>
      </c>
      <c r="H401" s="3">
        <f>SUMIFS($S$2:$S$10,$R$2:$R$10,E401)</f>
        <v>2</v>
      </c>
      <c r="I401" s="3">
        <f>SUMIFS($S$2:$S$10,$R$2:$R$10,F401)</f>
        <v>10</v>
      </c>
      <c r="J401" s="3">
        <f>SUM(G401:I401)</f>
        <v>27</v>
      </c>
      <c r="K401" s="3">
        <f>SUMIFS($T$2:$T$10,$R$2:$R$10,E401)</f>
        <v>0.16</v>
      </c>
      <c r="L401" s="3">
        <f>SUMIFS($V$2:$V$10,$R$2:$R$10,F401)</f>
        <v>0.05</v>
      </c>
      <c r="M401" s="3">
        <f>SUMIFS($U$2:$U$10,$R$2:$R$10,D401)</f>
        <v>0.09</v>
      </c>
    </row>
    <row r="402" spans="1:13" x14ac:dyDescent="0.25">
      <c r="A402" s="3">
        <f>(A$2+A$2*M402+A$2*L402)*(1+K402)</f>
        <v>665.37840000000006</v>
      </c>
      <c r="B402" s="3">
        <f>(B$2+B$2*M402+B$2*L402)*(1+K402)</f>
        <v>773.92529999999999</v>
      </c>
      <c r="C402" s="3">
        <f>(C$2+C$2*M402+C$2*L402)*(1+K402)</f>
        <v>813.39689999999985</v>
      </c>
      <c r="D402" s="3">
        <v>6</v>
      </c>
      <c r="E402" s="3">
        <v>5</v>
      </c>
      <c r="F402" s="3">
        <v>2</v>
      </c>
      <c r="G402" s="3">
        <f>SUMIFS($S$2:$S$10,$R$2:$R$10,D402)</f>
        <v>15</v>
      </c>
      <c r="H402" s="3">
        <f>SUMIFS($S$2:$S$10,$R$2:$R$10,E402)</f>
        <v>10</v>
      </c>
      <c r="I402" s="3">
        <f>SUMIFS($S$2:$S$10,$R$2:$R$10,F402)</f>
        <v>2</v>
      </c>
      <c r="J402" s="3">
        <f>SUM(G402:I402)</f>
        <v>27</v>
      </c>
      <c r="K402" s="3">
        <f>SUMIFS($T$2:$T$10,$R$2:$R$10,E402)</f>
        <v>0.27</v>
      </c>
      <c r="L402" s="3">
        <f>SUMIFS($V$2:$V$10,$R$2:$R$10,F402)</f>
        <v>0.02</v>
      </c>
      <c r="M402" s="3">
        <f>SUMIFS($U$2:$U$10,$R$2:$R$10,D402)</f>
        <v>0.09</v>
      </c>
    </row>
    <row r="403" spans="1:13" x14ac:dyDescent="0.25">
      <c r="A403" s="3">
        <f>(A$2+A$2*M403+A$2*L403)*(1+K403)</f>
        <v>542.79999999999995</v>
      </c>
      <c r="B403" s="3">
        <f>(B$2+B$2*M403+B$2*L403)*(1+K403)</f>
        <v>631.35</v>
      </c>
      <c r="C403" s="3">
        <f>(C$2+C$2*M403+C$2*L403)*(1+K403)</f>
        <v>663.55000000000007</v>
      </c>
      <c r="D403" s="3">
        <v>7</v>
      </c>
      <c r="E403" s="3">
        <v>0</v>
      </c>
      <c r="F403" s="3">
        <v>4</v>
      </c>
      <c r="G403" s="3">
        <f>SUMIFS($S$2:$S$10,$R$2:$R$10,D403)</f>
        <v>20</v>
      </c>
      <c r="H403" s="3">
        <f>SUMIFS($S$2:$S$10,$R$2:$R$10,E403)</f>
        <v>0</v>
      </c>
      <c r="I403" s="3">
        <f>SUMIFS($S$2:$S$10,$R$2:$R$10,F403)</f>
        <v>7</v>
      </c>
      <c r="J403" s="3">
        <f>SUM(G403:I403)</f>
        <v>27</v>
      </c>
      <c r="K403" s="3">
        <f>SUMIFS($T$2:$T$10,$R$2:$R$10,E403)</f>
        <v>0</v>
      </c>
      <c r="L403" s="3">
        <f>SUMIFS($V$2:$V$10,$R$2:$R$10,F403)</f>
        <v>0.04</v>
      </c>
      <c r="M403" s="3">
        <f>SUMIFS($U$2:$U$10,$R$2:$R$10,D403)</f>
        <v>0.11</v>
      </c>
    </row>
    <row r="404" spans="1:13" x14ac:dyDescent="0.25">
      <c r="A404" s="3">
        <f>(A$2+A$2*M404+A$2*L404)*(1+K404)</f>
        <v>639.18239999999992</v>
      </c>
      <c r="B404" s="3">
        <f>(B$2+B$2*M404+B$2*L404)*(1+K404)</f>
        <v>743.45579999999995</v>
      </c>
      <c r="C404" s="3">
        <f>(C$2+C$2*M404+C$2*L404)*(1+K404)</f>
        <v>781.37340000000006</v>
      </c>
      <c r="D404" s="3">
        <v>7</v>
      </c>
      <c r="E404" s="3">
        <v>4</v>
      </c>
      <c r="F404" s="3">
        <v>0</v>
      </c>
      <c r="G404" s="3">
        <f>SUMIFS($S$2:$S$10,$R$2:$R$10,D404)</f>
        <v>20</v>
      </c>
      <c r="H404" s="3">
        <f>SUMIFS($S$2:$S$10,$R$2:$R$10,E404)</f>
        <v>7</v>
      </c>
      <c r="I404" s="3">
        <f>SUMIFS($S$2:$S$10,$R$2:$R$10,F404)</f>
        <v>0</v>
      </c>
      <c r="J404" s="3">
        <f>SUM(G404:I404)</f>
        <v>27</v>
      </c>
      <c r="K404" s="3">
        <f>SUMIFS($T$2:$T$10,$R$2:$R$10,E404)</f>
        <v>0.22</v>
      </c>
      <c r="L404" s="3">
        <f>SUMIFS($V$2:$V$10,$R$2:$R$10,F404)</f>
        <v>0</v>
      </c>
      <c r="M404" s="3">
        <f>SUMIFS($U$2:$U$10,$R$2:$R$10,D404)</f>
        <v>0.11</v>
      </c>
    </row>
    <row r="405" spans="1:13" x14ac:dyDescent="0.25">
      <c r="A405" s="3">
        <f>(A$2+A$2*M405+A$2*L405)*(1+K405)</f>
        <v>533.36</v>
      </c>
      <c r="B405" s="3">
        <f>(B$2+B$2*M405+B$2*L405)*(1+K405)</f>
        <v>620.37</v>
      </c>
      <c r="C405" s="3">
        <f>(C$2+C$2*M405+C$2*L405)*(1+K405)</f>
        <v>652.01</v>
      </c>
      <c r="D405" s="3">
        <v>8</v>
      </c>
      <c r="E405" s="3">
        <v>0</v>
      </c>
      <c r="F405" s="3">
        <v>0</v>
      </c>
      <c r="G405" s="3">
        <f>SUMIFS($S$2:$S$10,$R$2:$R$10,D405)</f>
        <v>27</v>
      </c>
      <c r="H405" s="3">
        <f>SUMIFS($S$2:$S$10,$R$2:$R$10,E405)</f>
        <v>0</v>
      </c>
      <c r="I405" s="3">
        <f>SUMIFS($S$2:$S$10,$R$2:$R$10,F405)</f>
        <v>0</v>
      </c>
      <c r="J405" s="3">
        <f>SUM(G405:I405)</f>
        <v>27</v>
      </c>
      <c r="K405" s="3">
        <f>SUMIFS($T$2:$T$10,$R$2:$R$10,E405)</f>
        <v>0</v>
      </c>
      <c r="L405" s="3">
        <f>SUMIFS($V$2:$V$10,$R$2:$R$10,F405)</f>
        <v>0</v>
      </c>
      <c r="M405" s="3">
        <f>SUMIFS($U$2:$U$10,$R$2:$R$10,D405)</f>
        <v>0.13</v>
      </c>
    </row>
    <row r="406" spans="1:13" x14ac:dyDescent="0.25">
      <c r="A406" s="2">
        <f>(A$2+A$2*K406+A$2*M406)*(1+L406)</f>
        <v>659.38400000000001</v>
      </c>
      <c r="B406" s="2">
        <f>(B$2+B$2*K406+B$2*M406)*(1+L406)</f>
        <v>766.95300000000009</v>
      </c>
      <c r="C406" s="2">
        <f>(C$2+C$2*K406+C$2*M406)*(1+L406)</f>
        <v>806.06900000000007</v>
      </c>
      <c r="D406" s="2">
        <v>5</v>
      </c>
      <c r="E406" s="2">
        <v>4</v>
      </c>
      <c r="F406" s="2">
        <v>5</v>
      </c>
      <c r="G406" s="2">
        <f>SUMIFS($S$2:$S$10,$R$2:$R$10,D406)</f>
        <v>10</v>
      </c>
      <c r="H406" s="2">
        <f>SUMIFS($S$2:$S$10,$R$2:$R$10,E406)</f>
        <v>7</v>
      </c>
      <c r="I406" s="2">
        <f>SUMIFS($S$2:$S$10,$R$2:$R$10,F406)</f>
        <v>10</v>
      </c>
      <c r="J406" s="2">
        <f>SUM(G406:I406)</f>
        <v>27</v>
      </c>
      <c r="K406" s="2">
        <f>SUMIFS($U$2:$U$10,$R$2:$R$10,E406)</f>
        <v>0.05</v>
      </c>
      <c r="L406" s="2">
        <f>SUMIFS($T$2:$T$10,$R$2:$R$10,F406)</f>
        <v>0.27</v>
      </c>
      <c r="M406" s="2">
        <f>SUMIFS($V$2:$V$10,$R$2:$R$10,D406)</f>
        <v>0.05</v>
      </c>
    </row>
    <row r="407" spans="1:13" x14ac:dyDescent="0.25">
      <c r="A407" s="2">
        <f>(A$2+A$2*K407+A$2*M407)*(1+L407)</f>
        <v>644.94079999999997</v>
      </c>
      <c r="B407" s="2">
        <f>(B$2+B$2*K407+B$2*M407)*(1+L407)</f>
        <v>750.1536000000001</v>
      </c>
      <c r="C407" s="2">
        <f>(C$2+C$2*K407+C$2*M407)*(1+L407)</f>
        <v>788.41279999999995</v>
      </c>
      <c r="D407" s="2">
        <v>5</v>
      </c>
      <c r="E407" s="2">
        <v>5</v>
      </c>
      <c r="F407" s="2">
        <v>4</v>
      </c>
      <c r="G407" s="2">
        <f>SUMIFS($S$2:$S$10,$R$2:$R$10,D407)</f>
        <v>10</v>
      </c>
      <c r="H407" s="2">
        <f>SUMIFS($S$2:$S$10,$R$2:$R$10,E407)</f>
        <v>10</v>
      </c>
      <c r="I407" s="2">
        <f>SUMIFS($S$2:$S$10,$R$2:$R$10,F407)</f>
        <v>7</v>
      </c>
      <c r="J407" s="2">
        <f>SUM(G407:I407)</f>
        <v>27</v>
      </c>
      <c r="K407" s="2">
        <f>SUMIFS($U$2:$U$10,$R$2:$R$10,E407)</f>
        <v>7.0000000000000007E-2</v>
      </c>
      <c r="L407" s="2">
        <f>SUMIFS($T$2:$T$10,$R$2:$R$10,F407)</f>
        <v>0.22</v>
      </c>
      <c r="M407" s="2">
        <f>SUMIFS($V$2:$V$10,$R$2:$R$10,D407)</f>
        <v>0.05</v>
      </c>
    </row>
    <row r="408" spans="1:13" x14ac:dyDescent="0.25">
      <c r="A408" s="2">
        <f>(A$2+A$2*K408+A$2*M408)*(1+L408)</f>
        <v>647.39520000000005</v>
      </c>
      <c r="B408" s="2">
        <f>(B$2+B$2*K408+B$2*M408)*(1+L408)</f>
        <v>753.00840000000005</v>
      </c>
      <c r="C408" s="2">
        <f>(C$2+C$2*K408+C$2*M408)*(1+L408)</f>
        <v>791.41319999999996</v>
      </c>
      <c r="D408" s="2">
        <v>6</v>
      </c>
      <c r="E408" s="2">
        <v>2</v>
      </c>
      <c r="F408" s="2">
        <v>5</v>
      </c>
      <c r="G408" s="2">
        <f>SUMIFS($S$2:$S$10,$R$2:$R$10,D408)</f>
        <v>15</v>
      </c>
      <c r="H408" s="2">
        <f>SUMIFS($S$2:$S$10,$R$2:$R$10,E408)</f>
        <v>2</v>
      </c>
      <c r="I408" s="2">
        <f>SUMIFS($S$2:$S$10,$R$2:$R$10,F408)</f>
        <v>10</v>
      </c>
      <c r="J408" s="2">
        <f>SUM(G408:I408)</f>
        <v>27</v>
      </c>
      <c r="K408" s="2">
        <f>SUMIFS($U$2:$U$10,$R$2:$R$10,E408)</f>
        <v>0.02</v>
      </c>
      <c r="L408" s="2">
        <f>SUMIFS($T$2:$T$10,$R$2:$R$10,F408)</f>
        <v>0.27</v>
      </c>
      <c r="M408" s="2">
        <f>SUMIFS($V$2:$V$10,$R$2:$R$10,D408)</f>
        <v>0.06</v>
      </c>
    </row>
    <row r="409" spans="1:13" x14ac:dyDescent="0.25">
      <c r="A409" s="2">
        <f>(A$2+A$2*K409+A$2*M409)*(1+L409)</f>
        <v>618.69759999999997</v>
      </c>
      <c r="B409" s="2">
        <f>(B$2+B$2*K409+B$2*M409)*(1+L409)</f>
        <v>719.62920000000008</v>
      </c>
      <c r="C409" s="2">
        <f>(C$2+C$2*K409+C$2*M409)*(1+L409)</f>
        <v>756.33159999999998</v>
      </c>
      <c r="D409" s="2">
        <v>6</v>
      </c>
      <c r="E409" s="2">
        <v>5</v>
      </c>
      <c r="F409" s="2">
        <v>2</v>
      </c>
      <c r="G409" s="2">
        <f>SUMIFS($S$2:$S$10,$R$2:$R$10,D409)</f>
        <v>15</v>
      </c>
      <c r="H409" s="2">
        <f>SUMIFS($S$2:$S$10,$R$2:$R$10,E409)</f>
        <v>10</v>
      </c>
      <c r="I409" s="2">
        <f>SUMIFS($S$2:$S$10,$R$2:$R$10,F409)</f>
        <v>2</v>
      </c>
      <c r="J409" s="2">
        <f>SUM(G409:I409)</f>
        <v>27</v>
      </c>
      <c r="K409" s="2">
        <f>SUMIFS($U$2:$U$10,$R$2:$R$10,E409)</f>
        <v>7.0000000000000007E-2</v>
      </c>
      <c r="L409" s="2">
        <f>SUMIFS($T$2:$T$10,$R$2:$R$10,F409)</f>
        <v>0.16</v>
      </c>
      <c r="M409" s="2">
        <f>SUMIFS($V$2:$V$10,$R$2:$R$10,D409)</f>
        <v>0.06</v>
      </c>
    </row>
    <row r="410" spans="1:13" x14ac:dyDescent="0.25">
      <c r="A410" s="2">
        <f>(A$2+A$2*K410+A$2*M410)*(1+L410)</f>
        <v>616.14880000000005</v>
      </c>
      <c r="B410" s="2">
        <f>(B$2+B$2*K410+B$2*M410)*(1+L410)</f>
        <v>716.66460000000006</v>
      </c>
      <c r="C410" s="2">
        <f>(C$2+C$2*K410+C$2*M410)*(1+L410)</f>
        <v>753.21579999999994</v>
      </c>
      <c r="D410" s="2">
        <v>7</v>
      </c>
      <c r="E410" s="2">
        <v>0</v>
      </c>
      <c r="F410" s="2">
        <v>4</v>
      </c>
      <c r="G410" s="2">
        <f>SUMIFS($S$2:$S$10,$R$2:$R$10,D410)</f>
        <v>20</v>
      </c>
      <c r="H410" s="2">
        <f>SUMIFS($S$2:$S$10,$R$2:$R$10,E410)</f>
        <v>0</v>
      </c>
      <c r="I410" s="2">
        <f>SUMIFS($S$2:$S$10,$R$2:$R$10,F410)</f>
        <v>7</v>
      </c>
      <c r="J410" s="2">
        <f>SUM(G410:I410)</f>
        <v>27</v>
      </c>
      <c r="K410" s="2">
        <f>SUMIFS($U$2:$U$10,$R$2:$R$10,E410)</f>
        <v>0</v>
      </c>
      <c r="L410" s="2">
        <f>SUMIFS($T$2:$T$10,$R$2:$R$10,F410)</f>
        <v>0.22</v>
      </c>
      <c r="M410" s="2">
        <f>SUMIFS($V$2:$V$10,$R$2:$R$10,D410)</f>
        <v>7.0000000000000007E-2</v>
      </c>
    </row>
    <row r="411" spans="1:13" x14ac:dyDescent="0.25">
      <c r="A411" s="2">
        <f>(A$2+A$2*K411+A$2*M411)*(1+L411)</f>
        <v>528.64</v>
      </c>
      <c r="B411" s="2">
        <f>(B$2+B$2*K411+B$2*M411)*(1+L411)</f>
        <v>614.88000000000011</v>
      </c>
      <c r="C411" s="2">
        <f>(C$2+C$2*K411+C$2*M411)*(1+L411)</f>
        <v>646.24</v>
      </c>
      <c r="D411" s="2">
        <v>7</v>
      </c>
      <c r="E411" s="2">
        <v>4</v>
      </c>
      <c r="F411" s="2">
        <v>0</v>
      </c>
      <c r="G411" s="2">
        <f>SUMIFS($S$2:$S$10,$R$2:$R$10,D411)</f>
        <v>20</v>
      </c>
      <c r="H411" s="2">
        <f>SUMIFS($S$2:$S$10,$R$2:$R$10,E411)</f>
        <v>7</v>
      </c>
      <c r="I411" s="2">
        <f>SUMIFS($S$2:$S$10,$R$2:$R$10,F411)</f>
        <v>0</v>
      </c>
      <c r="J411" s="2">
        <f>SUM(G411:I411)</f>
        <v>27</v>
      </c>
      <c r="K411" s="2">
        <f>SUMIFS($U$2:$U$10,$R$2:$R$10,E411)</f>
        <v>0.05</v>
      </c>
      <c r="L411" s="2">
        <f>SUMIFS($T$2:$T$10,$R$2:$R$10,F411)</f>
        <v>0</v>
      </c>
      <c r="M411" s="2">
        <f>SUMIFS($V$2:$V$10,$R$2:$R$10,D411)</f>
        <v>7.0000000000000007E-2</v>
      </c>
    </row>
    <row r="412" spans="1:13" x14ac:dyDescent="0.25">
      <c r="A412" s="2">
        <f>(A$2+A$2*K412+A$2*M412)*(1+L412)</f>
        <v>509.76</v>
      </c>
      <c r="B412" s="2">
        <f>(B$2+B$2*K412+B$2*M412)*(1+L412)</f>
        <v>592.91999999999996</v>
      </c>
      <c r="C412" s="2">
        <f>(C$2+C$2*K412+C$2*M412)*(1+L412)</f>
        <v>623.16</v>
      </c>
      <c r="D412" s="2">
        <v>8</v>
      </c>
      <c r="E412" s="2">
        <v>0</v>
      </c>
      <c r="F412" s="2">
        <v>0</v>
      </c>
      <c r="G412" s="2">
        <f>SUMIFS($S$2:$S$10,$R$2:$R$10,D412)</f>
        <v>27</v>
      </c>
      <c r="H412" s="2">
        <f>SUMIFS($S$2:$S$10,$R$2:$R$10,E412)</f>
        <v>0</v>
      </c>
      <c r="I412" s="2">
        <f>SUMIFS($S$2:$S$10,$R$2:$R$10,F412)</f>
        <v>0</v>
      </c>
      <c r="J412" s="2">
        <f>SUM(G412:I412)</f>
        <v>27</v>
      </c>
      <c r="K412" s="2">
        <f>SUMIFS($U$2:$U$10,$R$2:$R$10,E412)</f>
        <v>0</v>
      </c>
      <c r="L412" s="2">
        <f>SUMIFS($T$2:$T$10,$R$2:$R$10,F412)</f>
        <v>0</v>
      </c>
      <c r="M412" s="2">
        <f>SUMIFS($V$2:$V$10,$R$2:$R$10,D412)</f>
        <v>0.08</v>
      </c>
    </row>
    <row r="413" spans="1:13" x14ac:dyDescent="0.25">
      <c r="A413" s="1">
        <f>(A$2+A$2*K413+A$2*L413)*(1+M413)</f>
        <v>678.97200000000009</v>
      </c>
      <c r="B413" s="1">
        <f>(B$2+B$2*K413+B$2*L413)*(1+M413)</f>
        <v>789.73650000000009</v>
      </c>
      <c r="C413" s="1">
        <f>(C$2+C$2*K413+C$2*L413)*(1+M413)</f>
        <v>830.01450000000011</v>
      </c>
      <c r="D413" s="1">
        <v>7</v>
      </c>
      <c r="E413" s="1">
        <v>1</v>
      </c>
      <c r="F413" s="1">
        <v>4</v>
      </c>
      <c r="G413" s="1">
        <f>SUMIFS($S$2:$S$10,$R$2:$R$10,D413)</f>
        <v>20</v>
      </c>
      <c r="H413" s="1">
        <f>SUMIFS($S$2:$S$10,$R$2:$R$10,E413)</f>
        <v>1</v>
      </c>
      <c r="I413" s="1">
        <f>SUMIFS($S$2:$S$10,$R$2:$R$10,F413)</f>
        <v>7</v>
      </c>
      <c r="J413" s="1">
        <f>SUM(G413:I413)</f>
        <v>28</v>
      </c>
      <c r="K413" s="1">
        <f>SUMIFS($U$2:$U$10,$R$2:$R$10,E413)</f>
        <v>0.01</v>
      </c>
      <c r="L413" s="1">
        <f>SUMIFS($V$2:$V$10,$R$2:$R$10,F413)</f>
        <v>0.04</v>
      </c>
      <c r="M413" s="1">
        <f>SUMIFS($T$2:$T$10,$R$2:$R$10,D413)</f>
        <v>0.37</v>
      </c>
    </row>
    <row r="414" spans="1:13" x14ac:dyDescent="0.25">
      <c r="A414" s="1">
        <f>(A$2+A$2*K414+A$2*L414)*(1+M414)</f>
        <v>685.43840000000012</v>
      </c>
      <c r="B414" s="1">
        <f>(B$2+B$2*K414+B$2*L414)*(1+M414)</f>
        <v>797.25780000000009</v>
      </c>
      <c r="C414" s="1">
        <f>(C$2+C$2*K414+C$2*L414)*(1+M414)</f>
        <v>837.91939999999988</v>
      </c>
      <c r="D414" s="1">
        <v>7</v>
      </c>
      <c r="E414" s="1">
        <v>3</v>
      </c>
      <c r="F414" s="1">
        <v>3</v>
      </c>
      <c r="G414" s="1">
        <f>SUMIFS($S$2:$S$10,$R$2:$R$10,D414)</f>
        <v>20</v>
      </c>
      <c r="H414" s="1">
        <f>SUMIFS($S$2:$S$10,$R$2:$R$10,E414)</f>
        <v>4</v>
      </c>
      <c r="I414" s="1">
        <f>SUMIFS($S$2:$S$10,$R$2:$R$10,F414)</f>
        <v>4</v>
      </c>
      <c r="J414" s="1">
        <f>SUM(G414:I414)</f>
        <v>28</v>
      </c>
      <c r="K414" s="1">
        <f>SUMIFS($U$2:$U$10,$R$2:$R$10,E414)</f>
        <v>0.03</v>
      </c>
      <c r="L414" s="1">
        <f>SUMIFS($V$2:$V$10,$R$2:$R$10,F414)</f>
        <v>0.03</v>
      </c>
      <c r="M414" s="1">
        <f>SUMIFS($T$2:$T$10,$R$2:$R$10,D414)</f>
        <v>0.37</v>
      </c>
    </row>
    <row r="415" spans="1:13" x14ac:dyDescent="0.25">
      <c r="A415" s="1">
        <f>(A$2+A$2*K415+A$2*L415)*(1+M415)</f>
        <v>685.43840000000012</v>
      </c>
      <c r="B415" s="1">
        <f>(B$2+B$2*K415+B$2*L415)*(1+M415)</f>
        <v>797.25780000000009</v>
      </c>
      <c r="C415" s="1">
        <f>(C$2+C$2*K415+C$2*L415)*(1+M415)</f>
        <v>837.91940000000011</v>
      </c>
      <c r="D415" s="1">
        <v>7</v>
      </c>
      <c r="E415" s="1">
        <v>4</v>
      </c>
      <c r="F415" s="1">
        <v>1</v>
      </c>
      <c r="G415" s="1">
        <f>SUMIFS($S$2:$S$10,$R$2:$R$10,D415)</f>
        <v>20</v>
      </c>
      <c r="H415" s="1">
        <f>SUMIFS($S$2:$S$10,$R$2:$R$10,E415)</f>
        <v>7</v>
      </c>
      <c r="I415" s="1">
        <f>SUMIFS($S$2:$S$10,$R$2:$R$10,F415)</f>
        <v>1</v>
      </c>
      <c r="J415" s="1">
        <f>SUM(G415:I415)</f>
        <v>28</v>
      </c>
      <c r="K415" s="1">
        <f>SUMIFS($U$2:$U$10,$R$2:$R$10,E415)</f>
        <v>0.05</v>
      </c>
      <c r="L415" s="1">
        <f>SUMIFS($V$2:$V$10,$R$2:$R$10,F415)</f>
        <v>0.01</v>
      </c>
      <c r="M415" s="1">
        <f>SUMIFS($T$2:$T$10,$R$2:$R$10,D415)</f>
        <v>0.37</v>
      </c>
    </row>
    <row r="416" spans="1:13" x14ac:dyDescent="0.25">
      <c r="A416" s="1">
        <f>(A$2+A$2*K416+A$2*L416)*(1+M416)</f>
        <v>681.70960000000002</v>
      </c>
      <c r="B416" s="1">
        <f>(B$2+B$2*K416+B$2*L416)*(1+M416)</f>
        <v>792.92070000000001</v>
      </c>
      <c r="C416" s="1">
        <f>(C$2+C$2*K416+C$2*L416)*(1+M416)</f>
        <v>833.36109999999996</v>
      </c>
      <c r="D416" s="1">
        <v>8</v>
      </c>
      <c r="E416" s="1">
        <v>0</v>
      </c>
      <c r="F416" s="1">
        <v>1</v>
      </c>
      <c r="G416" s="1">
        <f>SUMIFS($S$2:$S$10,$R$2:$R$10,D416)</f>
        <v>27</v>
      </c>
      <c r="H416" s="1">
        <f>SUMIFS($S$2:$S$10,$R$2:$R$10,E416)</f>
        <v>0</v>
      </c>
      <c r="I416" s="1">
        <f>SUMIFS($S$2:$S$10,$R$2:$R$10,F416)</f>
        <v>1</v>
      </c>
      <c r="J416" s="1">
        <f>SUM(G416:I416)</f>
        <v>28</v>
      </c>
      <c r="K416" s="1">
        <f>SUMIFS($U$2:$U$10,$R$2:$R$10,E416)</f>
        <v>0</v>
      </c>
      <c r="L416" s="1">
        <f>SUMIFS($V$2:$V$10,$R$2:$R$10,F416)</f>
        <v>0.01</v>
      </c>
      <c r="M416" s="1">
        <f>SUMIFS($T$2:$T$10,$R$2:$R$10,D416)</f>
        <v>0.43</v>
      </c>
    </row>
    <row r="417" spans="1:13" x14ac:dyDescent="0.25">
      <c r="A417" s="1">
        <f>(A$2+A$2*K417+A$2*L417)*(1+M417)</f>
        <v>681.70960000000002</v>
      </c>
      <c r="B417" s="1">
        <f>(B$2+B$2*K417+B$2*L417)*(1+M417)</f>
        <v>792.92070000000001</v>
      </c>
      <c r="C417" s="1">
        <f>(C$2+C$2*K417+C$2*L417)*(1+M417)</f>
        <v>833.36109999999996</v>
      </c>
      <c r="D417" s="1">
        <v>8</v>
      </c>
      <c r="E417" s="1">
        <v>1</v>
      </c>
      <c r="F417" s="1">
        <v>0</v>
      </c>
      <c r="G417" s="1">
        <f>SUMIFS($S$2:$S$10,$R$2:$R$10,D417)</f>
        <v>27</v>
      </c>
      <c r="H417" s="1">
        <f>SUMIFS($S$2:$S$10,$R$2:$R$10,E417)</f>
        <v>1</v>
      </c>
      <c r="I417" s="1">
        <f>SUMIFS($S$2:$S$10,$R$2:$R$10,F417)</f>
        <v>0</v>
      </c>
      <c r="J417" s="1">
        <f>SUM(G417:I417)</f>
        <v>28</v>
      </c>
      <c r="K417" s="1">
        <f>SUMIFS($U$2:$U$10,$R$2:$R$10,E417)</f>
        <v>0.01</v>
      </c>
      <c r="L417" s="1">
        <f>SUMIFS($V$2:$V$10,$R$2:$R$10,F417)</f>
        <v>0</v>
      </c>
      <c r="M417" s="1">
        <f>SUMIFS($T$2:$T$10,$R$2:$R$10,D417)</f>
        <v>0.43</v>
      </c>
    </row>
    <row r="418" spans="1:13" x14ac:dyDescent="0.25">
      <c r="A418" s="3">
        <f>(A$2+A$2*M418+A$2*L418)*(1+K418)</f>
        <v>613.36399999999992</v>
      </c>
      <c r="B418" s="3">
        <f>(B$2+B$2*M418+B$2*L418)*(1+K418)</f>
        <v>713.42549999999994</v>
      </c>
      <c r="C418" s="3">
        <f>(C$2+C$2*M418+C$2*L418)*(1+K418)</f>
        <v>749.81150000000002</v>
      </c>
      <c r="D418" s="3">
        <v>7</v>
      </c>
      <c r="E418" s="3">
        <v>1</v>
      </c>
      <c r="F418" s="3">
        <v>4</v>
      </c>
      <c r="G418" s="3">
        <f>SUMIFS($S$2:$S$10,$R$2:$R$10,D418)</f>
        <v>20</v>
      </c>
      <c r="H418" s="3">
        <f>SUMIFS($S$2:$S$10,$R$2:$R$10,E418)</f>
        <v>1</v>
      </c>
      <c r="I418" s="3">
        <f>SUMIFS($S$2:$S$10,$R$2:$R$10,F418)</f>
        <v>7</v>
      </c>
      <c r="J418" s="3">
        <f>SUM(G418:I418)</f>
        <v>28</v>
      </c>
      <c r="K418" s="3">
        <f>SUMIFS($T$2:$T$10,$R$2:$R$10,E418)</f>
        <v>0.13</v>
      </c>
      <c r="L418" s="3">
        <f>SUMIFS($V$2:$V$10,$R$2:$R$10,F418)</f>
        <v>0.04</v>
      </c>
      <c r="M418" s="3">
        <f>SUMIFS($U$2:$U$10,$R$2:$R$10,D418)</f>
        <v>0.11</v>
      </c>
    </row>
    <row r="419" spans="1:13" x14ac:dyDescent="0.25">
      <c r="A419" s="3">
        <f>(A$2+A$2*M419+A$2*L419)*(1+K419)</f>
        <v>640.31519999999989</v>
      </c>
      <c r="B419" s="3">
        <f>(B$2+B$2*M419+B$2*L419)*(1+K419)</f>
        <v>744.77340000000004</v>
      </c>
      <c r="C419" s="3">
        <f>(C$2+C$2*M419+C$2*L419)*(1+K419)</f>
        <v>782.75819999999999</v>
      </c>
      <c r="D419" s="3">
        <v>7</v>
      </c>
      <c r="E419" s="3">
        <v>3</v>
      </c>
      <c r="F419" s="3">
        <v>3</v>
      </c>
      <c r="G419" s="3">
        <f>SUMIFS($S$2:$S$10,$R$2:$R$10,D419)</f>
        <v>20</v>
      </c>
      <c r="H419" s="3">
        <f>SUMIFS($S$2:$S$10,$R$2:$R$10,E419)</f>
        <v>4</v>
      </c>
      <c r="I419" s="3">
        <f>SUMIFS($S$2:$S$10,$R$2:$R$10,F419)</f>
        <v>4</v>
      </c>
      <c r="J419" s="3">
        <f>SUM(G419:I419)</f>
        <v>28</v>
      </c>
      <c r="K419" s="3">
        <f>SUMIFS($T$2:$T$10,$R$2:$R$10,E419)</f>
        <v>0.19</v>
      </c>
      <c r="L419" s="3">
        <f>SUMIFS($V$2:$V$10,$R$2:$R$10,F419)</f>
        <v>0.03</v>
      </c>
      <c r="M419" s="3">
        <f>SUMIFS($U$2:$U$10,$R$2:$R$10,D419)</f>
        <v>0.11</v>
      </c>
    </row>
    <row r="420" spans="1:13" x14ac:dyDescent="0.25">
      <c r="A420" s="3">
        <f>(A$2+A$2*M420+A$2*L420)*(1+K420)</f>
        <v>644.94079999999997</v>
      </c>
      <c r="B420" s="3">
        <f>(B$2+B$2*M420+B$2*L420)*(1+K420)</f>
        <v>750.15359999999998</v>
      </c>
      <c r="C420" s="3">
        <f>(C$2+C$2*M420+C$2*L420)*(1+K420)</f>
        <v>788.41279999999995</v>
      </c>
      <c r="D420" s="3">
        <v>7</v>
      </c>
      <c r="E420" s="3">
        <v>4</v>
      </c>
      <c r="F420" s="3">
        <v>1</v>
      </c>
      <c r="G420" s="3">
        <f>SUMIFS($S$2:$S$10,$R$2:$R$10,D420)</f>
        <v>20</v>
      </c>
      <c r="H420" s="3">
        <f>SUMIFS($S$2:$S$10,$R$2:$R$10,E420)</f>
        <v>7</v>
      </c>
      <c r="I420" s="3">
        <f>SUMIFS($S$2:$S$10,$R$2:$R$10,F420)</f>
        <v>1</v>
      </c>
      <c r="J420" s="3">
        <f>SUM(G420:I420)</f>
        <v>28</v>
      </c>
      <c r="K420" s="3">
        <f>SUMIFS($T$2:$T$10,$R$2:$R$10,E420)</f>
        <v>0.22</v>
      </c>
      <c r="L420" s="3">
        <f>SUMIFS($V$2:$V$10,$R$2:$R$10,F420)</f>
        <v>0.01</v>
      </c>
      <c r="M420" s="3">
        <f>SUMIFS($U$2:$U$10,$R$2:$R$10,D420)</f>
        <v>0.11</v>
      </c>
    </row>
    <row r="421" spans="1:13" x14ac:dyDescent="0.25">
      <c r="A421" s="3">
        <f>(A$2+A$2*M421+A$2*L421)*(1+K421)</f>
        <v>538.08000000000004</v>
      </c>
      <c r="B421" s="3">
        <f>(B$2+B$2*M421+B$2*L421)*(1+K421)</f>
        <v>625.86</v>
      </c>
      <c r="C421" s="3">
        <f>(C$2+C$2*M421+C$2*L421)*(1+K421)</f>
        <v>657.78</v>
      </c>
      <c r="D421" s="3">
        <v>8</v>
      </c>
      <c r="E421" s="3">
        <v>0</v>
      </c>
      <c r="F421" s="3">
        <v>1</v>
      </c>
      <c r="G421" s="3">
        <f>SUMIFS($S$2:$S$10,$R$2:$R$10,D421)</f>
        <v>27</v>
      </c>
      <c r="H421" s="3">
        <f>SUMIFS($S$2:$S$10,$R$2:$R$10,E421)</f>
        <v>0</v>
      </c>
      <c r="I421" s="3">
        <f>SUMIFS($S$2:$S$10,$R$2:$R$10,F421)</f>
        <v>1</v>
      </c>
      <c r="J421" s="3">
        <f>SUM(G421:I421)</f>
        <v>28</v>
      </c>
      <c r="K421" s="3">
        <f>SUMIFS($T$2:$T$10,$R$2:$R$10,E421)</f>
        <v>0</v>
      </c>
      <c r="L421" s="3">
        <f>SUMIFS($V$2:$V$10,$R$2:$R$10,F421)</f>
        <v>0.01</v>
      </c>
      <c r="M421" s="3">
        <f>SUMIFS($U$2:$U$10,$R$2:$R$10,D421)</f>
        <v>0.13</v>
      </c>
    </row>
    <row r="422" spans="1:13" x14ac:dyDescent="0.25">
      <c r="A422" s="3">
        <f>(A$2+A$2*M422+A$2*L422)*(1+K422)</f>
        <v>602.69679999999994</v>
      </c>
      <c r="B422" s="3">
        <f>(B$2+B$2*M422+B$2*L422)*(1+K422)</f>
        <v>701.01809999999989</v>
      </c>
      <c r="C422" s="3">
        <f>(C$2+C$2*M422+C$2*L422)*(1+K422)</f>
        <v>736.77129999999988</v>
      </c>
      <c r="D422" s="3">
        <v>8</v>
      </c>
      <c r="E422" s="3">
        <v>1</v>
      </c>
      <c r="F422" s="3">
        <v>0</v>
      </c>
      <c r="G422" s="3">
        <f>SUMIFS($S$2:$S$10,$R$2:$R$10,D422)</f>
        <v>27</v>
      </c>
      <c r="H422" s="3">
        <f>SUMIFS($S$2:$S$10,$R$2:$R$10,E422)</f>
        <v>1</v>
      </c>
      <c r="I422" s="3">
        <f>SUMIFS($S$2:$S$10,$R$2:$R$10,F422)</f>
        <v>0</v>
      </c>
      <c r="J422" s="3">
        <f>SUM(G422:I422)</f>
        <v>28</v>
      </c>
      <c r="K422" s="3">
        <f>SUMIFS($T$2:$T$10,$R$2:$R$10,E422)</f>
        <v>0.13</v>
      </c>
      <c r="L422" s="3">
        <f>SUMIFS($V$2:$V$10,$R$2:$R$10,F422)</f>
        <v>0</v>
      </c>
      <c r="M422" s="3">
        <f>SUMIFS($U$2:$U$10,$R$2:$R$10,D422)</f>
        <v>0.13</v>
      </c>
    </row>
    <row r="423" spans="1:13" x14ac:dyDescent="0.25">
      <c r="A423" s="2">
        <f>(A$2+A$2*K423+A$2*M423)*(1+L423)</f>
        <v>621.90719999999999</v>
      </c>
      <c r="B423" s="2">
        <f>(B$2+B$2*K423+B$2*M423)*(1+L423)</f>
        <v>723.36240000000009</v>
      </c>
      <c r="C423" s="2">
        <f>(C$2+C$2*K423+C$2*M423)*(1+L423)</f>
        <v>760.25519999999995</v>
      </c>
      <c r="D423" s="2">
        <v>7</v>
      </c>
      <c r="E423" s="2">
        <v>1</v>
      </c>
      <c r="F423" s="2">
        <v>4</v>
      </c>
      <c r="G423" s="2">
        <f>SUMIFS($S$2:$S$10,$R$2:$R$10,D423)</f>
        <v>20</v>
      </c>
      <c r="H423" s="2">
        <f>SUMIFS($S$2:$S$10,$R$2:$R$10,E423)</f>
        <v>1</v>
      </c>
      <c r="I423" s="2">
        <f>SUMIFS($S$2:$S$10,$R$2:$R$10,F423)</f>
        <v>7</v>
      </c>
      <c r="J423" s="2">
        <f>SUM(G423:I423)</f>
        <v>28</v>
      </c>
      <c r="K423" s="2">
        <f>SUMIFS($U$2:$U$10,$R$2:$R$10,E423)</f>
        <v>0.01</v>
      </c>
      <c r="L423" s="2">
        <f>SUMIFS($T$2:$T$10,$R$2:$R$10,F423)</f>
        <v>0.22</v>
      </c>
      <c r="M423" s="2">
        <f>SUMIFS($V$2:$V$10,$R$2:$R$10,D423)</f>
        <v>7.0000000000000007E-2</v>
      </c>
    </row>
    <row r="424" spans="1:13" x14ac:dyDescent="0.25">
      <c r="A424" s="2">
        <f>(A$2+A$2*K424+A$2*M424)*(1+L424)</f>
        <v>617.84800000000007</v>
      </c>
      <c r="B424" s="2">
        <f>(B$2+B$2*K424+B$2*M424)*(1+L424)</f>
        <v>718.64100000000008</v>
      </c>
      <c r="C424" s="2">
        <f>(C$2+C$2*K424+C$2*M424)*(1+L424)</f>
        <v>755.29299999999989</v>
      </c>
      <c r="D424" s="2">
        <v>7</v>
      </c>
      <c r="E424" s="2">
        <v>3</v>
      </c>
      <c r="F424" s="2">
        <v>3</v>
      </c>
      <c r="G424" s="2">
        <f>SUMIFS($S$2:$S$10,$R$2:$R$10,D424)</f>
        <v>20</v>
      </c>
      <c r="H424" s="2">
        <f>SUMIFS($S$2:$S$10,$R$2:$R$10,E424)</f>
        <v>4</v>
      </c>
      <c r="I424" s="2">
        <f>SUMIFS($S$2:$S$10,$R$2:$R$10,F424)</f>
        <v>4</v>
      </c>
      <c r="J424" s="2">
        <f>SUM(G424:I424)</f>
        <v>28</v>
      </c>
      <c r="K424" s="2">
        <f>SUMIFS($U$2:$U$10,$R$2:$R$10,E424)</f>
        <v>0.03</v>
      </c>
      <c r="L424" s="2">
        <f>SUMIFS($T$2:$T$10,$R$2:$R$10,F424)</f>
        <v>0.19</v>
      </c>
      <c r="M424" s="2">
        <f>SUMIFS($V$2:$V$10,$R$2:$R$10,D424)</f>
        <v>7.0000000000000007E-2</v>
      </c>
    </row>
    <row r="425" spans="1:13" x14ac:dyDescent="0.25">
      <c r="A425" s="2">
        <f>(A$2+A$2*K425+A$2*M425)*(1+L425)</f>
        <v>597.36319999999989</v>
      </c>
      <c r="B425" s="2">
        <f>(B$2+B$2*K425+B$2*M425)*(1+L425)</f>
        <v>694.81440000000009</v>
      </c>
      <c r="C425" s="2">
        <f>(C$2+C$2*K425+C$2*M425)*(1+L425)</f>
        <v>730.25119999999993</v>
      </c>
      <c r="D425" s="2">
        <v>7</v>
      </c>
      <c r="E425" s="2">
        <v>4</v>
      </c>
      <c r="F425" s="2">
        <v>1</v>
      </c>
      <c r="G425" s="2">
        <f>SUMIFS($S$2:$S$10,$R$2:$R$10,D425)</f>
        <v>20</v>
      </c>
      <c r="H425" s="2">
        <f>SUMIFS($S$2:$S$10,$R$2:$R$10,E425)</f>
        <v>7</v>
      </c>
      <c r="I425" s="2">
        <f>SUMIFS($S$2:$S$10,$R$2:$R$10,F425)</f>
        <v>1</v>
      </c>
      <c r="J425" s="2">
        <f>SUM(G425:I425)</f>
        <v>28</v>
      </c>
      <c r="K425" s="2">
        <f>SUMIFS($U$2:$U$10,$R$2:$R$10,E425)</f>
        <v>0.05</v>
      </c>
      <c r="L425" s="2">
        <f>SUMIFS($T$2:$T$10,$R$2:$R$10,F425)</f>
        <v>0.13</v>
      </c>
      <c r="M425" s="2">
        <f>SUMIFS($V$2:$V$10,$R$2:$R$10,D425)</f>
        <v>7.0000000000000007E-2</v>
      </c>
    </row>
    <row r="426" spans="1:13" x14ac:dyDescent="0.25">
      <c r="A426" s="2">
        <f>(A$2+A$2*K426+A$2*M426)*(1+L426)</f>
        <v>576.02879999999993</v>
      </c>
      <c r="B426" s="2">
        <f>(B$2+B$2*K426+B$2*M426)*(1+L426)</f>
        <v>669.99959999999987</v>
      </c>
      <c r="C426" s="2">
        <f>(C$2+C$2*K426+C$2*M426)*(1+L426)</f>
        <v>704.17079999999987</v>
      </c>
      <c r="D426" s="2">
        <v>8</v>
      </c>
      <c r="E426" s="2">
        <v>0</v>
      </c>
      <c r="F426" s="2">
        <v>1</v>
      </c>
      <c r="G426" s="2">
        <f>SUMIFS($S$2:$S$10,$R$2:$R$10,D426)</f>
        <v>27</v>
      </c>
      <c r="H426" s="2">
        <f>SUMIFS($S$2:$S$10,$R$2:$R$10,E426)</f>
        <v>0</v>
      </c>
      <c r="I426" s="2">
        <f>SUMIFS($S$2:$S$10,$R$2:$R$10,F426)</f>
        <v>1</v>
      </c>
      <c r="J426" s="2">
        <f>SUM(G426:I426)</f>
        <v>28</v>
      </c>
      <c r="K426" s="2">
        <f>SUMIFS($U$2:$U$10,$R$2:$R$10,E426)</f>
        <v>0</v>
      </c>
      <c r="L426" s="2">
        <f>SUMIFS($T$2:$T$10,$R$2:$R$10,F426)</f>
        <v>0.13</v>
      </c>
      <c r="M426" s="2">
        <f>SUMIFS($V$2:$V$10,$R$2:$R$10,D426)</f>
        <v>0.08</v>
      </c>
    </row>
    <row r="427" spans="1:13" x14ac:dyDescent="0.25">
      <c r="A427" s="2">
        <f>(A$2+A$2*K427+A$2*M427)*(1+L427)</f>
        <v>514.48</v>
      </c>
      <c r="B427" s="2">
        <f>(B$2+B$2*K427+B$2*M427)*(1+L427)</f>
        <v>598.41</v>
      </c>
      <c r="C427" s="2">
        <f>(C$2+C$2*K427+C$2*M427)*(1+L427)</f>
        <v>628.92999999999995</v>
      </c>
      <c r="D427" s="2">
        <v>8</v>
      </c>
      <c r="E427" s="2">
        <v>1</v>
      </c>
      <c r="F427" s="2">
        <v>0</v>
      </c>
      <c r="G427" s="2">
        <f>SUMIFS($S$2:$S$10,$R$2:$R$10,D427)</f>
        <v>27</v>
      </c>
      <c r="H427" s="2">
        <f>SUMIFS($S$2:$S$10,$R$2:$R$10,E427)</f>
        <v>1</v>
      </c>
      <c r="I427" s="2">
        <f>SUMIFS($S$2:$S$10,$R$2:$R$10,F427)</f>
        <v>0</v>
      </c>
      <c r="J427" s="2">
        <f>SUM(G427:I427)</f>
        <v>28</v>
      </c>
      <c r="K427" s="2">
        <f>SUMIFS($U$2:$U$10,$R$2:$R$10,E427)</f>
        <v>0.01</v>
      </c>
      <c r="L427" s="2">
        <f>SUMIFS($T$2:$T$10,$R$2:$R$10,F427)</f>
        <v>0</v>
      </c>
      <c r="M427" s="2">
        <f>SUMIFS($V$2:$V$10,$R$2:$R$10,D427)</f>
        <v>0.08</v>
      </c>
    </row>
    <row r="428" spans="1:13" x14ac:dyDescent="0.25">
      <c r="A428" s="1">
        <f>(A$2+A$2*K428+A$2*L428)*(1+M428)</f>
        <v>672.8832000000001</v>
      </c>
      <c r="B428" s="1">
        <f>(B$2+B$2*K428+B$2*L428)*(1+M428)</f>
        <v>782.65440000000012</v>
      </c>
      <c r="C428" s="1">
        <f>(C$2+C$2*K428+C$2*L428)*(1+M428)</f>
        <v>822.57119999999998</v>
      </c>
      <c r="D428" s="1">
        <v>6</v>
      </c>
      <c r="E428" s="1">
        <v>3</v>
      </c>
      <c r="F428" s="1">
        <v>5</v>
      </c>
      <c r="G428" s="1">
        <f>SUMIFS($S$2:$S$10,$R$2:$R$10,D428)</f>
        <v>15</v>
      </c>
      <c r="H428" s="1">
        <f>SUMIFS($S$2:$S$10,$R$2:$R$10,E428)</f>
        <v>4</v>
      </c>
      <c r="I428" s="1">
        <f>SUMIFS($S$2:$S$10,$R$2:$R$10,F428)</f>
        <v>10</v>
      </c>
      <c r="J428" s="1">
        <f>SUM(G428:I428)</f>
        <v>29</v>
      </c>
      <c r="K428" s="1">
        <f>SUMIFS($U$2:$U$10,$R$2:$R$10,E428)</f>
        <v>0.03</v>
      </c>
      <c r="L428" s="1">
        <f>SUMIFS($V$2:$V$10,$R$2:$R$10,F428)</f>
        <v>0.05</v>
      </c>
      <c r="M428" s="1">
        <f>SUMIFS($T$2:$T$10,$R$2:$R$10,D428)</f>
        <v>0.32</v>
      </c>
    </row>
    <row r="429" spans="1:13" x14ac:dyDescent="0.25">
      <c r="A429" s="1">
        <f>(A$2+A$2*K429+A$2*L429)*(1+M429)</f>
        <v>679.11360000000002</v>
      </c>
      <c r="B429" s="1">
        <f>(B$2+B$2*K429+B$2*L429)*(1+M429)</f>
        <v>789.90120000000013</v>
      </c>
      <c r="C429" s="1">
        <f>(C$2+C$2*K429+C$2*L429)*(1+M429)</f>
        <v>830.18760000000009</v>
      </c>
      <c r="D429" s="1">
        <v>6</v>
      </c>
      <c r="E429" s="1">
        <v>4</v>
      </c>
      <c r="F429" s="1">
        <v>4</v>
      </c>
      <c r="G429" s="1">
        <f>SUMIFS($S$2:$S$10,$R$2:$R$10,D429)</f>
        <v>15</v>
      </c>
      <c r="H429" s="1">
        <f>SUMIFS($S$2:$S$10,$R$2:$R$10,E429)</f>
        <v>7</v>
      </c>
      <c r="I429" s="1">
        <f>SUMIFS($S$2:$S$10,$R$2:$R$10,F429)</f>
        <v>7</v>
      </c>
      <c r="J429" s="1">
        <f>SUM(G429:I429)</f>
        <v>29</v>
      </c>
      <c r="K429" s="1">
        <f>SUMIFS($U$2:$U$10,$R$2:$R$10,E429)</f>
        <v>0.05</v>
      </c>
      <c r="L429" s="1">
        <f>SUMIFS($V$2:$V$10,$R$2:$R$10,F429)</f>
        <v>0.04</v>
      </c>
      <c r="M429" s="1">
        <f>SUMIFS($T$2:$T$10,$R$2:$R$10,D429)</f>
        <v>0.32</v>
      </c>
    </row>
    <row r="430" spans="1:13" x14ac:dyDescent="0.25">
      <c r="A430" s="1">
        <f>(A$2+A$2*K430+A$2*L430)*(1+M430)</f>
        <v>685.34400000000005</v>
      </c>
      <c r="B430" s="1">
        <f>(B$2+B$2*K430+B$2*L430)*(1+M430)</f>
        <v>797.14800000000014</v>
      </c>
      <c r="C430" s="1">
        <f>(C$2+C$2*K430+C$2*L430)*(1+M430)</f>
        <v>837.80399999999997</v>
      </c>
      <c r="D430" s="1">
        <v>6</v>
      </c>
      <c r="E430" s="1">
        <v>5</v>
      </c>
      <c r="F430" s="1">
        <v>3</v>
      </c>
      <c r="G430" s="1">
        <f>SUMIFS($S$2:$S$10,$R$2:$R$10,D430)</f>
        <v>15</v>
      </c>
      <c r="H430" s="1">
        <f>SUMIFS($S$2:$S$10,$R$2:$R$10,E430)</f>
        <v>10</v>
      </c>
      <c r="I430" s="1">
        <f>SUMIFS($S$2:$S$10,$R$2:$R$10,F430)</f>
        <v>4</v>
      </c>
      <c r="J430" s="1">
        <f>SUM(G430:I430)</f>
        <v>29</v>
      </c>
      <c r="K430" s="1">
        <f>SUMIFS($U$2:$U$10,$R$2:$R$10,E430)</f>
        <v>7.0000000000000007E-2</v>
      </c>
      <c r="L430" s="1">
        <f>SUMIFS($V$2:$V$10,$R$2:$R$10,F430)</f>
        <v>0.03</v>
      </c>
      <c r="M430" s="1">
        <f>SUMIFS($T$2:$T$10,$R$2:$R$10,D430)</f>
        <v>0.32</v>
      </c>
    </row>
    <row r="431" spans="1:13" x14ac:dyDescent="0.25">
      <c r="A431" s="1">
        <f>(A$2+A$2*K431+A$2*L431)*(1+M431)</f>
        <v>685.4384</v>
      </c>
      <c r="B431" s="1">
        <f>(B$2+B$2*K431+B$2*L431)*(1+M431)</f>
        <v>797.25780000000009</v>
      </c>
      <c r="C431" s="1">
        <f>(C$2+C$2*K431+C$2*L431)*(1+M431)</f>
        <v>837.91940000000011</v>
      </c>
      <c r="D431" s="1">
        <v>7</v>
      </c>
      <c r="E431" s="1">
        <v>2</v>
      </c>
      <c r="F431" s="1">
        <v>4</v>
      </c>
      <c r="G431" s="1">
        <f>SUMIFS($S$2:$S$10,$R$2:$R$10,D431)</f>
        <v>20</v>
      </c>
      <c r="H431" s="1">
        <f>SUMIFS($S$2:$S$10,$R$2:$R$10,E431)</f>
        <v>2</v>
      </c>
      <c r="I431" s="1">
        <f>SUMIFS($S$2:$S$10,$R$2:$R$10,F431)</f>
        <v>7</v>
      </c>
      <c r="J431" s="1">
        <f>SUM(G431:I431)</f>
        <v>29</v>
      </c>
      <c r="K431" s="1">
        <f>SUMIFS($U$2:$U$10,$R$2:$R$10,E431)</f>
        <v>0.02</v>
      </c>
      <c r="L431" s="1">
        <f>SUMIFS($V$2:$V$10,$R$2:$R$10,F431)</f>
        <v>0.04</v>
      </c>
      <c r="M431" s="1">
        <f>SUMIFS($T$2:$T$10,$R$2:$R$10,D431)</f>
        <v>0.37</v>
      </c>
    </row>
    <row r="432" spans="1:13" x14ac:dyDescent="0.25">
      <c r="A432" s="1">
        <f>(A$2+A$2*K432+A$2*L432)*(1+M432)</f>
        <v>691.90480000000014</v>
      </c>
      <c r="B432" s="1">
        <f>(B$2+B$2*K432+B$2*L432)*(1+M432)</f>
        <v>804.7791000000002</v>
      </c>
      <c r="C432" s="1">
        <f>(C$2+C$2*K432+C$2*L432)*(1+M432)</f>
        <v>845.82429999999999</v>
      </c>
      <c r="D432" s="1">
        <v>7</v>
      </c>
      <c r="E432" s="1">
        <v>4</v>
      </c>
      <c r="F432" s="1">
        <v>2</v>
      </c>
      <c r="G432" s="1">
        <f>SUMIFS($S$2:$S$10,$R$2:$R$10,D432)</f>
        <v>20</v>
      </c>
      <c r="H432" s="1">
        <f>SUMIFS($S$2:$S$10,$R$2:$R$10,E432)</f>
        <v>7</v>
      </c>
      <c r="I432" s="1">
        <f>SUMIFS($S$2:$S$10,$R$2:$R$10,F432)</f>
        <v>2</v>
      </c>
      <c r="J432" s="1">
        <f>SUM(G432:I432)</f>
        <v>29</v>
      </c>
      <c r="K432" s="1">
        <f>SUMIFS($U$2:$U$10,$R$2:$R$10,E432)</f>
        <v>0.05</v>
      </c>
      <c r="L432" s="1">
        <f>SUMIFS($V$2:$V$10,$R$2:$R$10,F432)</f>
        <v>0.02</v>
      </c>
      <c r="M432" s="1">
        <f>SUMIFS($T$2:$T$10,$R$2:$R$10,D432)</f>
        <v>0.37</v>
      </c>
    </row>
    <row r="433" spans="1:13" x14ac:dyDescent="0.25">
      <c r="A433" s="1">
        <f>(A$2+A$2*K433+A$2*L433)*(1+M433)</f>
        <v>688.45920000000001</v>
      </c>
      <c r="B433" s="1">
        <f>(B$2+B$2*K433+B$2*L433)*(1+M433)</f>
        <v>800.77139999999997</v>
      </c>
      <c r="C433" s="1">
        <f>(C$2+C$2*K433+C$2*L433)*(1+M433)</f>
        <v>841.61219999999992</v>
      </c>
      <c r="D433" s="1">
        <v>8</v>
      </c>
      <c r="E433" s="1">
        <v>0</v>
      </c>
      <c r="F433" s="1">
        <v>2</v>
      </c>
      <c r="G433" s="1">
        <f>SUMIFS($S$2:$S$10,$R$2:$R$10,D433)</f>
        <v>27</v>
      </c>
      <c r="H433" s="1">
        <f>SUMIFS($S$2:$S$10,$R$2:$R$10,E433)</f>
        <v>0</v>
      </c>
      <c r="I433" s="1">
        <f>SUMIFS($S$2:$S$10,$R$2:$R$10,F433)</f>
        <v>2</v>
      </c>
      <c r="J433" s="1">
        <f>SUM(G433:I433)</f>
        <v>29</v>
      </c>
      <c r="K433" s="1">
        <f>SUMIFS($U$2:$U$10,$R$2:$R$10,E433)</f>
        <v>0</v>
      </c>
      <c r="L433" s="1">
        <f>SUMIFS($V$2:$V$10,$R$2:$R$10,F433)</f>
        <v>0.02</v>
      </c>
      <c r="M433" s="1">
        <f>SUMIFS($T$2:$T$10,$R$2:$R$10,D433)</f>
        <v>0.43</v>
      </c>
    </row>
    <row r="434" spans="1:13" x14ac:dyDescent="0.25">
      <c r="A434" s="1">
        <f>(A$2+A$2*K434+A$2*L434)*(1+M434)</f>
        <v>688.45920000000001</v>
      </c>
      <c r="B434" s="1">
        <f>(B$2+B$2*K434+B$2*L434)*(1+M434)</f>
        <v>800.77139999999997</v>
      </c>
      <c r="C434" s="1">
        <f>(C$2+C$2*K434+C$2*L434)*(1+M434)</f>
        <v>841.61219999999992</v>
      </c>
      <c r="D434" s="1">
        <v>8</v>
      </c>
      <c r="E434" s="1">
        <v>1</v>
      </c>
      <c r="F434" s="1">
        <v>1</v>
      </c>
      <c r="G434" s="1">
        <f>SUMIFS($S$2:$S$10,$R$2:$R$10,D434)</f>
        <v>27</v>
      </c>
      <c r="H434" s="1">
        <f>SUMIFS($S$2:$S$10,$R$2:$R$10,E434)</f>
        <v>1</v>
      </c>
      <c r="I434" s="1">
        <f>SUMIFS($S$2:$S$10,$R$2:$R$10,F434)</f>
        <v>1</v>
      </c>
      <c r="J434" s="1">
        <f>SUM(G434:I434)</f>
        <v>29</v>
      </c>
      <c r="K434" s="1">
        <f>SUMIFS($U$2:$U$10,$R$2:$R$10,E434)</f>
        <v>0.01</v>
      </c>
      <c r="L434" s="1">
        <f>SUMIFS($V$2:$V$10,$R$2:$R$10,F434)</f>
        <v>0.01</v>
      </c>
      <c r="M434" s="1">
        <f>SUMIFS($T$2:$T$10,$R$2:$R$10,D434)</f>
        <v>0.43</v>
      </c>
    </row>
    <row r="435" spans="1:13" x14ac:dyDescent="0.25">
      <c r="A435" s="1">
        <f>(A$2+A$2*K435+A$2*L435)*(1+M435)</f>
        <v>688.45920000000001</v>
      </c>
      <c r="B435" s="1">
        <f>(B$2+B$2*K435+B$2*L435)*(1+M435)</f>
        <v>800.77139999999997</v>
      </c>
      <c r="C435" s="1">
        <f>(C$2+C$2*K435+C$2*L435)*(1+M435)</f>
        <v>841.61219999999992</v>
      </c>
      <c r="D435" s="1">
        <v>8</v>
      </c>
      <c r="E435" s="1">
        <v>2</v>
      </c>
      <c r="F435" s="1">
        <v>0</v>
      </c>
      <c r="G435" s="1">
        <f>SUMIFS($S$2:$S$10,$R$2:$R$10,D435)</f>
        <v>27</v>
      </c>
      <c r="H435" s="1">
        <f>SUMIFS($S$2:$S$10,$R$2:$R$10,E435)</f>
        <v>2</v>
      </c>
      <c r="I435" s="1">
        <f>SUMIFS($S$2:$S$10,$R$2:$R$10,F435)</f>
        <v>0</v>
      </c>
      <c r="J435" s="1">
        <f>SUM(G435:I435)</f>
        <v>29</v>
      </c>
      <c r="K435" s="1">
        <f>SUMIFS($U$2:$U$10,$R$2:$R$10,E435)</f>
        <v>0.02</v>
      </c>
      <c r="L435" s="1">
        <f>SUMIFS($V$2:$V$10,$R$2:$R$10,F435)</f>
        <v>0</v>
      </c>
      <c r="M435" s="1">
        <f>SUMIFS($T$2:$T$10,$R$2:$R$10,D435)</f>
        <v>0.43</v>
      </c>
    </row>
    <row r="436" spans="1:13" x14ac:dyDescent="0.25">
      <c r="A436" s="3">
        <f>(A$2+A$2*M436+A$2*L436)*(1+K436)</f>
        <v>640.3152</v>
      </c>
      <c r="B436" s="3">
        <f>(B$2+B$2*M436+B$2*L436)*(1+K436)</f>
        <v>744.77340000000004</v>
      </c>
      <c r="C436" s="3">
        <f>(C$2+C$2*M436+C$2*L436)*(1+K436)</f>
        <v>782.75819999999999</v>
      </c>
      <c r="D436" s="3">
        <v>6</v>
      </c>
      <c r="E436" s="3">
        <v>3</v>
      </c>
      <c r="F436" s="3">
        <v>5</v>
      </c>
      <c r="G436" s="3">
        <f>SUMIFS($S$2:$S$10,$R$2:$R$10,D436)</f>
        <v>15</v>
      </c>
      <c r="H436" s="3">
        <f>SUMIFS($S$2:$S$10,$R$2:$R$10,E436)</f>
        <v>4</v>
      </c>
      <c r="I436" s="3">
        <f>SUMIFS($S$2:$S$10,$R$2:$R$10,F436)</f>
        <v>10</v>
      </c>
      <c r="J436" s="3">
        <f>SUM(G436:I436)</f>
        <v>29</v>
      </c>
      <c r="K436" s="3">
        <f>SUMIFS($T$2:$T$10,$R$2:$R$10,E436)</f>
        <v>0.19</v>
      </c>
      <c r="L436" s="3">
        <f>SUMIFS($V$2:$V$10,$R$2:$R$10,F436)</f>
        <v>0.05</v>
      </c>
      <c r="M436" s="3">
        <f>SUMIFS($U$2:$U$10,$R$2:$R$10,D436)</f>
        <v>0.09</v>
      </c>
    </row>
    <row r="437" spans="1:13" x14ac:dyDescent="0.25">
      <c r="A437" s="3">
        <f>(A$2+A$2*M437+A$2*L437)*(1+K437)</f>
        <v>650.69920000000002</v>
      </c>
      <c r="B437" s="3">
        <f>(B$2+B$2*M437+B$2*L437)*(1+K437)</f>
        <v>756.85140000000001</v>
      </c>
      <c r="C437" s="3">
        <f>(C$2+C$2*M437+C$2*L437)*(1+K437)</f>
        <v>795.45219999999995</v>
      </c>
      <c r="D437" s="3">
        <v>6</v>
      </c>
      <c r="E437" s="3">
        <v>4</v>
      </c>
      <c r="F437" s="3">
        <v>4</v>
      </c>
      <c r="G437" s="3">
        <f>SUMIFS($S$2:$S$10,$R$2:$R$10,D437)</f>
        <v>15</v>
      </c>
      <c r="H437" s="3">
        <f>SUMIFS($S$2:$S$10,$R$2:$R$10,E437)</f>
        <v>7</v>
      </c>
      <c r="I437" s="3">
        <f>SUMIFS($S$2:$S$10,$R$2:$R$10,F437)</f>
        <v>7</v>
      </c>
      <c r="J437" s="3">
        <f>SUM(G437:I437)</f>
        <v>29</v>
      </c>
      <c r="K437" s="3">
        <f>SUMIFS($T$2:$T$10,$R$2:$R$10,E437)</f>
        <v>0.22</v>
      </c>
      <c r="L437" s="3">
        <f>SUMIFS($V$2:$V$10,$R$2:$R$10,F437)</f>
        <v>0.04</v>
      </c>
      <c r="M437" s="3">
        <f>SUMIFS($U$2:$U$10,$R$2:$R$10,D437)</f>
        <v>0.09</v>
      </c>
    </row>
    <row r="438" spans="1:13" x14ac:dyDescent="0.25">
      <c r="A438" s="3">
        <f>(A$2+A$2*M438+A$2*L438)*(1+K438)</f>
        <v>671.37279999999998</v>
      </c>
      <c r="B438" s="3">
        <f>(B$2+B$2*M438+B$2*L438)*(1+K438)</f>
        <v>780.89760000000001</v>
      </c>
      <c r="C438" s="3">
        <f>(C$2+C$2*M438+C$2*L438)*(1+K438)</f>
        <v>820.72479999999985</v>
      </c>
      <c r="D438" s="3">
        <v>6</v>
      </c>
      <c r="E438" s="3">
        <v>5</v>
      </c>
      <c r="F438" s="3">
        <v>3</v>
      </c>
      <c r="G438" s="3">
        <f>SUMIFS($S$2:$S$10,$R$2:$R$10,D438)</f>
        <v>15</v>
      </c>
      <c r="H438" s="3">
        <f>SUMIFS($S$2:$S$10,$R$2:$R$10,E438)</f>
        <v>10</v>
      </c>
      <c r="I438" s="3">
        <f>SUMIFS($S$2:$S$10,$R$2:$R$10,F438)</f>
        <v>4</v>
      </c>
      <c r="J438" s="3">
        <f>SUM(G438:I438)</f>
        <v>29</v>
      </c>
      <c r="K438" s="3">
        <f>SUMIFS($T$2:$T$10,$R$2:$R$10,E438)</f>
        <v>0.27</v>
      </c>
      <c r="L438" s="3">
        <f>SUMIFS($V$2:$V$10,$R$2:$R$10,F438)</f>
        <v>0.03</v>
      </c>
      <c r="M438" s="3">
        <f>SUMIFS($U$2:$U$10,$R$2:$R$10,D438)</f>
        <v>0.09</v>
      </c>
    </row>
    <row r="439" spans="1:13" x14ac:dyDescent="0.25">
      <c r="A439" s="3">
        <f>(A$2+A$2*M439+A$2*L439)*(1+K439)</f>
        <v>629.64799999999991</v>
      </c>
      <c r="B439" s="3">
        <f>(B$2+B$2*M439+B$2*L439)*(1+K439)</f>
        <v>732.36599999999999</v>
      </c>
      <c r="C439" s="3">
        <f>(C$2+C$2*M439+C$2*L439)*(1+K439)</f>
        <v>769.71800000000007</v>
      </c>
      <c r="D439" s="3">
        <v>7</v>
      </c>
      <c r="E439" s="3">
        <v>2</v>
      </c>
      <c r="F439" s="3">
        <v>4</v>
      </c>
      <c r="G439" s="3">
        <f>SUMIFS($S$2:$S$10,$R$2:$R$10,D439)</f>
        <v>20</v>
      </c>
      <c r="H439" s="3">
        <f>SUMIFS($S$2:$S$10,$R$2:$R$10,E439)</f>
        <v>2</v>
      </c>
      <c r="I439" s="3">
        <f>SUMIFS($S$2:$S$10,$R$2:$R$10,F439)</f>
        <v>7</v>
      </c>
      <c r="J439" s="3">
        <f>SUM(G439:I439)</f>
        <v>29</v>
      </c>
      <c r="K439" s="3">
        <f>SUMIFS($T$2:$T$10,$R$2:$R$10,E439)</f>
        <v>0.16</v>
      </c>
      <c r="L439" s="3">
        <f>SUMIFS($V$2:$V$10,$R$2:$R$10,F439)</f>
        <v>0.04</v>
      </c>
      <c r="M439" s="3">
        <f>SUMIFS($U$2:$U$10,$R$2:$R$10,D439)</f>
        <v>0.11</v>
      </c>
    </row>
    <row r="440" spans="1:13" x14ac:dyDescent="0.25">
      <c r="A440" s="3">
        <f>(A$2+A$2*M440+A$2*L440)*(1+K440)</f>
        <v>650.69920000000002</v>
      </c>
      <c r="B440" s="3">
        <f>(B$2+B$2*M440+B$2*L440)*(1+K440)</f>
        <v>756.85140000000001</v>
      </c>
      <c r="C440" s="3">
        <f>(C$2+C$2*M440+C$2*L440)*(1+K440)</f>
        <v>795.45219999999995</v>
      </c>
      <c r="D440" s="3">
        <v>7</v>
      </c>
      <c r="E440" s="3">
        <v>4</v>
      </c>
      <c r="F440" s="3">
        <v>2</v>
      </c>
      <c r="G440" s="3">
        <f>SUMIFS($S$2:$S$10,$R$2:$R$10,D440)</f>
        <v>20</v>
      </c>
      <c r="H440" s="3">
        <f>SUMIFS($S$2:$S$10,$R$2:$R$10,E440)</f>
        <v>7</v>
      </c>
      <c r="I440" s="3">
        <f>SUMIFS($S$2:$S$10,$R$2:$R$10,F440)</f>
        <v>2</v>
      </c>
      <c r="J440" s="3">
        <f>SUM(G440:I440)</f>
        <v>29</v>
      </c>
      <c r="K440" s="3">
        <f>SUMIFS($T$2:$T$10,$R$2:$R$10,E440)</f>
        <v>0.22</v>
      </c>
      <c r="L440" s="3">
        <f>SUMIFS($V$2:$V$10,$R$2:$R$10,F440)</f>
        <v>0.02</v>
      </c>
      <c r="M440" s="3">
        <f>SUMIFS($U$2:$U$10,$R$2:$R$10,D440)</f>
        <v>0.11</v>
      </c>
    </row>
    <row r="441" spans="1:13" x14ac:dyDescent="0.25">
      <c r="A441" s="3">
        <f>(A$2+A$2*M441+A$2*L441)*(1+K441)</f>
        <v>542.80000000000007</v>
      </c>
      <c r="B441" s="3">
        <f>(B$2+B$2*M441+B$2*L441)*(1+K441)</f>
        <v>631.35</v>
      </c>
      <c r="C441" s="3">
        <f>(C$2+C$2*M441+C$2*L441)*(1+K441)</f>
        <v>663.55</v>
      </c>
      <c r="D441" s="3">
        <v>8</v>
      </c>
      <c r="E441" s="3">
        <v>0</v>
      </c>
      <c r="F441" s="3">
        <v>2</v>
      </c>
      <c r="G441" s="3">
        <f>SUMIFS($S$2:$S$10,$R$2:$R$10,D441)</f>
        <v>27</v>
      </c>
      <c r="H441" s="3">
        <f>SUMIFS($S$2:$S$10,$R$2:$R$10,E441)</f>
        <v>0</v>
      </c>
      <c r="I441" s="3">
        <f>SUMIFS($S$2:$S$10,$R$2:$R$10,F441)</f>
        <v>2</v>
      </c>
      <c r="J441" s="3">
        <f>SUM(G441:I441)</f>
        <v>29</v>
      </c>
      <c r="K441" s="3">
        <f>SUMIFS($T$2:$T$10,$R$2:$R$10,E441)</f>
        <v>0</v>
      </c>
      <c r="L441" s="3">
        <f>SUMIFS($V$2:$V$10,$R$2:$R$10,F441)</f>
        <v>0.02</v>
      </c>
      <c r="M441" s="3">
        <f>SUMIFS($U$2:$U$10,$R$2:$R$10,D441)</f>
        <v>0.13</v>
      </c>
    </row>
    <row r="442" spans="1:13" x14ac:dyDescent="0.25">
      <c r="A442" s="3">
        <f>(A$2+A$2*M442+A$2*L442)*(1+K442)</f>
        <v>608.03039999999999</v>
      </c>
      <c r="B442" s="3">
        <f>(B$2+B$2*M442+B$2*L442)*(1+K442)</f>
        <v>707.22179999999992</v>
      </c>
      <c r="C442" s="3">
        <f>(C$2+C$2*M442+C$2*L442)*(1+K442)</f>
        <v>743.29139999999995</v>
      </c>
      <c r="D442" s="3">
        <v>8</v>
      </c>
      <c r="E442" s="3">
        <v>1</v>
      </c>
      <c r="F442" s="3">
        <v>1</v>
      </c>
      <c r="G442" s="3">
        <f>SUMIFS($S$2:$S$10,$R$2:$R$10,D442)</f>
        <v>27</v>
      </c>
      <c r="H442" s="3">
        <f>SUMIFS($S$2:$S$10,$R$2:$R$10,E442)</f>
        <v>1</v>
      </c>
      <c r="I442" s="3">
        <f>SUMIFS($S$2:$S$10,$R$2:$R$10,F442)</f>
        <v>1</v>
      </c>
      <c r="J442" s="3">
        <f>SUM(G442:I442)</f>
        <v>29</v>
      </c>
      <c r="K442" s="3">
        <f>SUMIFS($T$2:$T$10,$R$2:$R$10,E442)</f>
        <v>0.13</v>
      </c>
      <c r="L442" s="3">
        <f>SUMIFS($V$2:$V$10,$R$2:$R$10,F442)</f>
        <v>0.01</v>
      </c>
      <c r="M442" s="3">
        <f>SUMIFS($U$2:$U$10,$R$2:$R$10,D442)</f>
        <v>0.13</v>
      </c>
    </row>
    <row r="443" spans="1:13" x14ac:dyDescent="0.25">
      <c r="A443" s="3">
        <f>(A$2+A$2*M443+A$2*L443)*(1+K443)</f>
        <v>618.69759999999997</v>
      </c>
      <c r="B443" s="3">
        <f>(B$2+B$2*M443+B$2*L443)*(1+K443)</f>
        <v>719.62919999999997</v>
      </c>
      <c r="C443" s="3">
        <f>(C$2+C$2*M443+C$2*L443)*(1+K443)</f>
        <v>756.33159999999998</v>
      </c>
      <c r="D443" s="3">
        <v>8</v>
      </c>
      <c r="E443" s="3">
        <v>2</v>
      </c>
      <c r="F443" s="3">
        <v>0</v>
      </c>
      <c r="G443" s="3">
        <f>SUMIFS($S$2:$S$10,$R$2:$R$10,D443)</f>
        <v>27</v>
      </c>
      <c r="H443" s="3">
        <f>SUMIFS($S$2:$S$10,$R$2:$R$10,E443)</f>
        <v>2</v>
      </c>
      <c r="I443" s="3">
        <f>SUMIFS($S$2:$S$10,$R$2:$R$10,F443)</f>
        <v>0</v>
      </c>
      <c r="J443" s="3">
        <f>SUM(G443:I443)</f>
        <v>29</v>
      </c>
      <c r="K443" s="3">
        <f>SUMIFS($T$2:$T$10,$R$2:$R$10,E443)</f>
        <v>0.16</v>
      </c>
      <c r="L443" s="3">
        <f>SUMIFS($V$2:$V$10,$R$2:$R$10,F443)</f>
        <v>0</v>
      </c>
      <c r="M443" s="3">
        <f>SUMIFS($U$2:$U$10,$R$2:$R$10,D443)</f>
        <v>0.13</v>
      </c>
    </row>
    <row r="444" spans="1:13" x14ac:dyDescent="0.25">
      <c r="A444" s="2">
        <f>(A$2+A$2*K444+A$2*M444)*(1+L444)</f>
        <v>653.38960000000009</v>
      </c>
      <c r="B444" s="2">
        <f>(B$2+B$2*K444+B$2*M444)*(1+L444)</f>
        <v>759.98070000000007</v>
      </c>
      <c r="C444" s="2">
        <f>(C$2+C$2*K444+C$2*M444)*(1+L444)</f>
        <v>798.74109999999996</v>
      </c>
      <c r="D444" s="2">
        <v>6</v>
      </c>
      <c r="E444" s="2">
        <v>3</v>
      </c>
      <c r="F444" s="2">
        <v>5</v>
      </c>
      <c r="G444" s="2">
        <f>SUMIFS($S$2:$S$10,$R$2:$R$10,D444)</f>
        <v>15</v>
      </c>
      <c r="H444" s="2">
        <f>SUMIFS($S$2:$S$10,$R$2:$R$10,E444)</f>
        <v>4</v>
      </c>
      <c r="I444" s="2">
        <f>SUMIFS($S$2:$S$10,$R$2:$R$10,F444)</f>
        <v>10</v>
      </c>
      <c r="J444" s="2">
        <f>SUM(G444:I444)</f>
        <v>29</v>
      </c>
      <c r="K444" s="2">
        <f>SUMIFS($U$2:$U$10,$R$2:$R$10,E444)</f>
        <v>0.03</v>
      </c>
      <c r="L444" s="2">
        <f>SUMIFS($T$2:$T$10,$R$2:$R$10,F444)</f>
        <v>0.27</v>
      </c>
      <c r="M444" s="2">
        <f>SUMIFS($V$2:$V$10,$R$2:$R$10,D444)</f>
        <v>0.06</v>
      </c>
    </row>
    <row r="445" spans="1:13" x14ac:dyDescent="0.25">
      <c r="A445" s="2">
        <f>(A$2+A$2*K445+A$2*M445)*(1+L445)</f>
        <v>639.18240000000003</v>
      </c>
      <c r="B445" s="2">
        <f>(B$2+B$2*K445+B$2*M445)*(1+L445)</f>
        <v>743.45580000000007</v>
      </c>
      <c r="C445" s="2">
        <f>(C$2+C$2*K445+C$2*M445)*(1+L445)</f>
        <v>781.37340000000006</v>
      </c>
      <c r="D445" s="2">
        <v>6</v>
      </c>
      <c r="E445" s="2">
        <v>4</v>
      </c>
      <c r="F445" s="2">
        <v>4</v>
      </c>
      <c r="G445" s="2">
        <f>SUMIFS($S$2:$S$10,$R$2:$R$10,D445)</f>
        <v>15</v>
      </c>
      <c r="H445" s="2">
        <f>SUMIFS($S$2:$S$10,$R$2:$R$10,E445)</f>
        <v>7</v>
      </c>
      <c r="I445" s="2">
        <f>SUMIFS($S$2:$S$10,$R$2:$R$10,F445)</f>
        <v>7</v>
      </c>
      <c r="J445" s="2">
        <f>SUM(G445:I445)</f>
        <v>29</v>
      </c>
      <c r="K445" s="2">
        <f>SUMIFS($U$2:$U$10,$R$2:$R$10,E445)</f>
        <v>0.05</v>
      </c>
      <c r="L445" s="2">
        <f>SUMIFS($T$2:$T$10,$R$2:$R$10,F445)</f>
        <v>0.22</v>
      </c>
      <c r="M445" s="2">
        <f>SUMIFS($V$2:$V$10,$R$2:$R$10,D445)</f>
        <v>0.06</v>
      </c>
    </row>
    <row r="446" spans="1:13" x14ac:dyDescent="0.25">
      <c r="A446" s="2">
        <f>(A$2+A$2*K446+A$2*M446)*(1+L446)</f>
        <v>634.69839999999999</v>
      </c>
      <c r="B446" s="2">
        <f>(B$2+B$2*K446+B$2*M446)*(1+L446)</f>
        <v>738.24030000000016</v>
      </c>
      <c r="C446" s="2">
        <f>(C$2+C$2*K446+C$2*M446)*(1+L446)</f>
        <v>775.89189999999996</v>
      </c>
      <c r="D446" s="2">
        <v>6</v>
      </c>
      <c r="E446" s="2">
        <v>5</v>
      </c>
      <c r="F446" s="2">
        <v>3</v>
      </c>
      <c r="G446" s="2">
        <f>SUMIFS($S$2:$S$10,$R$2:$R$10,D446)</f>
        <v>15</v>
      </c>
      <c r="H446" s="2">
        <f>SUMIFS($S$2:$S$10,$R$2:$R$10,E446)</f>
        <v>10</v>
      </c>
      <c r="I446" s="2">
        <f>SUMIFS($S$2:$S$10,$R$2:$R$10,F446)</f>
        <v>4</v>
      </c>
      <c r="J446" s="2">
        <f>SUM(G446:I446)</f>
        <v>29</v>
      </c>
      <c r="K446" s="2">
        <f>SUMIFS($U$2:$U$10,$R$2:$R$10,E446)</f>
        <v>7.0000000000000007E-2</v>
      </c>
      <c r="L446" s="2">
        <f>SUMIFS($T$2:$T$10,$R$2:$R$10,F446)</f>
        <v>0.19</v>
      </c>
      <c r="M446" s="2">
        <f>SUMIFS($V$2:$V$10,$R$2:$R$10,D446)</f>
        <v>0.06</v>
      </c>
    </row>
    <row r="447" spans="1:13" x14ac:dyDescent="0.25">
      <c r="A447" s="2">
        <f>(A$2+A$2*K447+A$2*M447)*(1+L447)</f>
        <v>627.66560000000004</v>
      </c>
      <c r="B447" s="2">
        <f>(B$2+B$2*K447+B$2*M447)*(1+L447)</f>
        <v>730.06020000000012</v>
      </c>
      <c r="C447" s="2">
        <f>(C$2+C$2*K447+C$2*M447)*(1+L447)</f>
        <v>767.29459999999995</v>
      </c>
      <c r="D447" s="2">
        <v>7</v>
      </c>
      <c r="E447" s="2">
        <v>2</v>
      </c>
      <c r="F447" s="2">
        <v>4</v>
      </c>
      <c r="G447" s="2">
        <f>SUMIFS($S$2:$S$10,$R$2:$R$10,D447)</f>
        <v>20</v>
      </c>
      <c r="H447" s="2">
        <f>SUMIFS($S$2:$S$10,$R$2:$R$10,E447)</f>
        <v>2</v>
      </c>
      <c r="I447" s="2">
        <f>SUMIFS($S$2:$S$10,$R$2:$R$10,F447)</f>
        <v>7</v>
      </c>
      <c r="J447" s="2">
        <f>SUM(G447:I447)</f>
        <v>29</v>
      </c>
      <c r="K447" s="2">
        <f>SUMIFS($U$2:$U$10,$R$2:$R$10,E447)</f>
        <v>0.02</v>
      </c>
      <c r="L447" s="2">
        <f>SUMIFS($T$2:$T$10,$R$2:$R$10,F447)</f>
        <v>0.22</v>
      </c>
      <c r="M447" s="2">
        <f>SUMIFS($V$2:$V$10,$R$2:$R$10,D447)</f>
        <v>7.0000000000000007E-2</v>
      </c>
    </row>
    <row r="448" spans="1:13" x14ac:dyDescent="0.25">
      <c r="A448" s="2">
        <f>(A$2+A$2*K448+A$2*M448)*(1+L448)</f>
        <v>613.22239999999999</v>
      </c>
      <c r="B448" s="2">
        <f>(B$2+B$2*K448+B$2*M448)*(1+L448)</f>
        <v>713.26080000000013</v>
      </c>
      <c r="C448" s="2">
        <f>(C$2+C$2*K448+C$2*M448)*(1+L448)</f>
        <v>749.63839999999993</v>
      </c>
      <c r="D448" s="2">
        <v>7</v>
      </c>
      <c r="E448" s="2">
        <v>4</v>
      </c>
      <c r="F448" s="2">
        <v>2</v>
      </c>
      <c r="G448" s="2">
        <f>SUMIFS($S$2:$S$10,$R$2:$R$10,D448)</f>
        <v>20</v>
      </c>
      <c r="H448" s="2">
        <f>SUMIFS($S$2:$S$10,$R$2:$R$10,E448)</f>
        <v>7</v>
      </c>
      <c r="I448" s="2">
        <f>SUMIFS($S$2:$S$10,$R$2:$R$10,F448)</f>
        <v>2</v>
      </c>
      <c r="J448" s="2">
        <f>SUM(G448:I448)</f>
        <v>29</v>
      </c>
      <c r="K448" s="2">
        <f>SUMIFS($U$2:$U$10,$R$2:$R$10,E448)</f>
        <v>0.05</v>
      </c>
      <c r="L448" s="2">
        <f>SUMIFS($T$2:$T$10,$R$2:$R$10,F448)</f>
        <v>0.16</v>
      </c>
      <c r="M448" s="2">
        <f>SUMIFS($V$2:$V$10,$R$2:$R$10,D448)</f>
        <v>7.0000000000000007E-2</v>
      </c>
    </row>
    <row r="449" spans="1:13" x14ac:dyDescent="0.25">
      <c r="A449" s="2">
        <f>(A$2+A$2*K449+A$2*M449)*(1+L449)</f>
        <v>591.32159999999999</v>
      </c>
      <c r="B449" s="2">
        <f>(B$2+B$2*K449+B$2*M449)*(1+L449)</f>
        <v>687.78719999999987</v>
      </c>
      <c r="C449" s="2">
        <f>(C$2+C$2*K449+C$2*M449)*(1+L449)</f>
        <v>722.86559999999986</v>
      </c>
      <c r="D449" s="2">
        <v>8</v>
      </c>
      <c r="E449" s="2">
        <v>0</v>
      </c>
      <c r="F449" s="2">
        <v>2</v>
      </c>
      <c r="G449" s="2">
        <f>SUMIFS($S$2:$S$10,$R$2:$R$10,D449)</f>
        <v>27</v>
      </c>
      <c r="H449" s="2">
        <f>SUMIFS($S$2:$S$10,$R$2:$R$10,E449)</f>
        <v>0</v>
      </c>
      <c r="I449" s="2">
        <f>SUMIFS($S$2:$S$10,$R$2:$R$10,F449)</f>
        <v>2</v>
      </c>
      <c r="J449" s="2">
        <f>SUM(G449:I449)</f>
        <v>29</v>
      </c>
      <c r="K449" s="2">
        <f>SUMIFS($U$2:$U$10,$R$2:$R$10,E449)</f>
        <v>0</v>
      </c>
      <c r="L449" s="2">
        <f>SUMIFS($T$2:$T$10,$R$2:$R$10,F449)</f>
        <v>0.16</v>
      </c>
      <c r="M449" s="2">
        <f>SUMIFS($V$2:$V$10,$R$2:$R$10,D449)</f>
        <v>0.08</v>
      </c>
    </row>
    <row r="450" spans="1:13" x14ac:dyDescent="0.25">
      <c r="A450" s="2">
        <f>(A$2+A$2*K450+A$2*M450)*(1+L450)</f>
        <v>581.36239999999998</v>
      </c>
      <c r="B450" s="2">
        <f>(B$2+B$2*K450+B$2*M450)*(1+L450)</f>
        <v>676.2032999999999</v>
      </c>
      <c r="C450" s="2">
        <f>(C$2+C$2*K450+C$2*M450)*(1+L450)</f>
        <v>710.69089999999983</v>
      </c>
      <c r="D450" s="2">
        <v>8</v>
      </c>
      <c r="E450" s="2">
        <v>1</v>
      </c>
      <c r="F450" s="2">
        <v>1</v>
      </c>
      <c r="G450" s="2">
        <f>SUMIFS($S$2:$S$10,$R$2:$R$10,D450)</f>
        <v>27</v>
      </c>
      <c r="H450" s="2">
        <f>SUMIFS($S$2:$S$10,$R$2:$R$10,E450)</f>
        <v>1</v>
      </c>
      <c r="I450" s="2">
        <f>SUMIFS($S$2:$S$10,$R$2:$R$10,F450)</f>
        <v>1</v>
      </c>
      <c r="J450" s="2">
        <f>SUM(G450:I450)</f>
        <v>29</v>
      </c>
      <c r="K450" s="2">
        <f>SUMIFS($U$2:$U$10,$R$2:$R$10,E450)</f>
        <v>0.01</v>
      </c>
      <c r="L450" s="2">
        <f>SUMIFS($T$2:$T$10,$R$2:$R$10,F450)</f>
        <v>0.13</v>
      </c>
      <c r="M450" s="2">
        <f>SUMIFS($V$2:$V$10,$R$2:$R$10,D450)</f>
        <v>0.08</v>
      </c>
    </row>
    <row r="451" spans="1:13" x14ac:dyDescent="0.25">
      <c r="A451" s="2">
        <f>(A$2+A$2*K451+A$2*M451)*(1+L451)</f>
        <v>519.20000000000005</v>
      </c>
      <c r="B451" s="2">
        <f>(B$2+B$2*K451+B$2*M451)*(1+L451)</f>
        <v>603.9</v>
      </c>
      <c r="C451" s="2">
        <f>(C$2+C$2*K451+C$2*M451)*(1+L451)</f>
        <v>634.69999999999993</v>
      </c>
      <c r="D451" s="2">
        <v>8</v>
      </c>
      <c r="E451" s="2">
        <v>2</v>
      </c>
      <c r="F451" s="2">
        <v>0</v>
      </c>
      <c r="G451" s="2">
        <f>SUMIFS($S$2:$S$10,$R$2:$R$10,D451)</f>
        <v>27</v>
      </c>
      <c r="H451" s="2">
        <f>SUMIFS($S$2:$S$10,$R$2:$R$10,E451)</f>
        <v>2</v>
      </c>
      <c r="I451" s="2">
        <f>SUMIFS($S$2:$S$10,$R$2:$R$10,F451)</f>
        <v>0</v>
      </c>
      <c r="J451" s="2">
        <f>SUM(G451:I451)</f>
        <v>29</v>
      </c>
      <c r="K451" s="2">
        <f>SUMIFS($U$2:$U$10,$R$2:$R$10,E451)</f>
        <v>0.02</v>
      </c>
      <c r="L451" s="2">
        <f>SUMIFS($T$2:$T$10,$R$2:$R$10,F451)</f>
        <v>0</v>
      </c>
      <c r="M451" s="2">
        <f>SUMIFS($V$2:$V$10,$R$2:$R$10,D451)</f>
        <v>0.08</v>
      </c>
    </row>
    <row r="452" spans="1:13" x14ac:dyDescent="0.25">
      <c r="A452" s="1">
        <f>(A$2+A$2*K452+A$2*L452)*(1+M452)</f>
        <v>671.37279999999998</v>
      </c>
      <c r="B452" s="1">
        <f>(B$2+B$2*K452+B$2*L452)*(1+M452)</f>
        <v>780.89760000000012</v>
      </c>
      <c r="C452" s="1">
        <f>(C$2+C$2*K452+C$2*L452)*(1+M452)</f>
        <v>820.72480000000007</v>
      </c>
      <c r="D452" s="1">
        <v>5</v>
      </c>
      <c r="E452" s="1">
        <v>5</v>
      </c>
      <c r="F452" s="1">
        <v>5</v>
      </c>
      <c r="G452" s="1">
        <f>SUMIFS($S$2:$S$10,$R$2:$R$10,D452)</f>
        <v>10</v>
      </c>
      <c r="H452" s="1">
        <f>SUMIFS($S$2:$S$10,$R$2:$R$10,E452)</f>
        <v>10</v>
      </c>
      <c r="I452" s="1">
        <f>SUMIFS($S$2:$S$10,$R$2:$R$10,F452)</f>
        <v>10</v>
      </c>
      <c r="J452" s="1">
        <f>SUM(G452:I452)</f>
        <v>30</v>
      </c>
      <c r="K452" s="1">
        <f>SUMIFS($U$2:$U$10,$R$2:$R$10,E452)</f>
        <v>7.0000000000000007E-2</v>
      </c>
      <c r="L452" s="1">
        <f>SUMIFS($V$2:$V$10,$R$2:$R$10,F452)</f>
        <v>0.05</v>
      </c>
      <c r="M452" s="1">
        <f>SUMIFS($T$2:$T$10,$R$2:$R$10,D452)</f>
        <v>0.27</v>
      </c>
    </row>
    <row r="453" spans="1:13" x14ac:dyDescent="0.25">
      <c r="A453" s="1">
        <f>(A$2+A$2*K453+A$2*L453)*(1+M453)</f>
        <v>660.42240000000004</v>
      </c>
      <c r="B453" s="1">
        <f>(B$2+B$2*K453+B$2*L453)*(1+M453)</f>
        <v>768.16080000000011</v>
      </c>
      <c r="C453" s="1">
        <f>(C$2+C$2*K453+C$2*L453)*(1+M453)</f>
        <v>807.33840000000009</v>
      </c>
      <c r="D453" s="1">
        <v>6</v>
      </c>
      <c r="E453" s="1">
        <v>0</v>
      </c>
      <c r="F453" s="1">
        <v>6</v>
      </c>
      <c r="G453" s="1">
        <f>SUMIFS($S$2:$S$10,$R$2:$R$10,D453)</f>
        <v>15</v>
      </c>
      <c r="H453" s="1">
        <f>SUMIFS($S$2:$S$10,$R$2:$R$10,E453)</f>
        <v>0</v>
      </c>
      <c r="I453" s="1">
        <f>SUMIFS($S$2:$S$10,$R$2:$R$10,F453)</f>
        <v>15</v>
      </c>
      <c r="J453" s="1">
        <f>SUM(G453:I453)</f>
        <v>30</v>
      </c>
      <c r="K453" s="1">
        <f>SUMIFS($U$2:$U$10,$R$2:$R$10,E453)</f>
        <v>0</v>
      </c>
      <c r="L453" s="1">
        <f>SUMIFS($V$2:$V$10,$R$2:$R$10,F453)</f>
        <v>0.06</v>
      </c>
      <c r="M453" s="1">
        <f>SUMIFS($T$2:$T$10,$R$2:$R$10,D453)</f>
        <v>0.32</v>
      </c>
    </row>
    <row r="454" spans="1:13" x14ac:dyDescent="0.25">
      <c r="A454" s="1">
        <f>(A$2+A$2*K454+A$2*L454)*(1+M454)</f>
        <v>679.11360000000002</v>
      </c>
      <c r="B454" s="1">
        <f>(B$2+B$2*K454+B$2*L454)*(1+M454)</f>
        <v>789.90120000000002</v>
      </c>
      <c r="C454" s="1">
        <f>(C$2+C$2*K454+C$2*L454)*(1+M454)</f>
        <v>830.18759999999997</v>
      </c>
      <c r="D454" s="1">
        <v>6</v>
      </c>
      <c r="E454" s="1">
        <v>6</v>
      </c>
      <c r="F454" s="1">
        <v>0</v>
      </c>
      <c r="G454" s="1">
        <f>SUMIFS($S$2:$S$10,$R$2:$R$10,D454)</f>
        <v>15</v>
      </c>
      <c r="H454" s="1">
        <f>SUMIFS($S$2:$S$10,$R$2:$R$10,E454)</f>
        <v>15</v>
      </c>
      <c r="I454" s="1">
        <f>SUMIFS($S$2:$S$10,$R$2:$R$10,F454)</f>
        <v>0</v>
      </c>
      <c r="J454" s="1">
        <f>SUM(G454:I454)</f>
        <v>30</v>
      </c>
      <c r="K454" s="1">
        <f>SUMIFS($U$2:$U$10,$R$2:$R$10,E454)</f>
        <v>0.09</v>
      </c>
      <c r="L454" s="1">
        <f>SUMIFS($V$2:$V$10,$R$2:$R$10,F454)</f>
        <v>0</v>
      </c>
      <c r="M454" s="1">
        <f>SUMIFS($T$2:$T$10,$R$2:$R$10,D454)</f>
        <v>0.32</v>
      </c>
    </row>
    <row r="455" spans="1:13" x14ac:dyDescent="0.25">
      <c r="A455" s="1">
        <f>(A$2+A$2*K455+A$2*L455)*(1+M455)</f>
        <v>678.97200000000009</v>
      </c>
      <c r="B455" s="1">
        <f>(B$2+B$2*K455+B$2*L455)*(1+M455)</f>
        <v>789.73650000000009</v>
      </c>
      <c r="C455" s="1">
        <f>(C$2+C$2*K455+C$2*L455)*(1+M455)</f>
        <v>830.01450000000011</v>
      </c>
      <c r="D455" s="1">
        <v>7</v>
      </c>
      <c r="E455" s="1">
        <v>0</v>
      </c>
      <c r="F455" s="1">
        <v>5</v>
      </c>
      <c r="G455" s="1">
        <f>SUMIFS($S$2:$S$10,$R$2:$R$10,D455)</f>
        <v>20</v>
      </c>
      <c r="H455" s="1">
        <f>SUMIFS($S$2:$S$10,$R$2:$R$10,E455)</f>
        <v>0</v>
      </c>
      <c r="I455" s="1">
        <f>SUMIFS($S$2:$S$10,$R$2:$R$10,F455)</f>
        <v>10</v>
      </c>
      <c r="J455" s="1">
        <f>SUM(G455:I455)</f>
        <v>30</v>
      </c>
      <c r="K455" s="1">
        <f>SUMIFS($U$2:$U$10,$R$2:$R$10,E455)</f>
        <v>0</v>
      </c>
      <c r="L455" s="1">
        <f>SUMIFS($V$2:$V$10,$R$2:$R$10,F455)</f>
        <v>0.05</v>
      </c>
      <c r="M455" s="1">
        <f>SUMIFS($T$2:$T$10,$R$2:$R$10,D455)</f>
        <v>0.37</v>
      </c>
    </row>
    <row r="456" spans="1:13" x14ac:dyDescent="0.25">
      <c r="A456" s="1">
        <f>(A$2+A$2*K456+A$2*L456)*(1+M456)</f>
        <v>691.90480000000014</v>
      </c>
      <c r="B456" s="1">
        <f>(B$2+B$2*K456+B$2*L456)*(1+M456)</f>
        <v>804.7791000000002</v>
      </c>
      <c r="C456" s="1">
        <f>(C$2+C$2*K456+C$2*L456)*(1+M456)</f>
        <v>845.82429999999999</v>
      </c>
      <c r="D456" s="1">
        <v>7</v>
      </c>
      <c r="E456" s="1">
        <v>5</v>
      </c>
      <c r="F456" s="1">
        <v>0</v>
      </c>
      <c r="G456" s="1">
        <f>SUMIFS($S$2:$S$10,$R$2:$R$10,D456)</f>
        <v>20</v>
      </c>
      <c r="H456" s="1">
        <f>SUMIFS($S$2:$S$10,$R$2:$R$10,E456)</f>
        <v>10</v>
      </c>
      <c r="I456" s="1">
        <f>SUMIFS($S$2:$S$10,$R$2:$R$10,F456)</f>
        <v>0</v>
      </c>
      <c r="J456" s="1">
        <f>SUM(G456:I456)</f>
        <v>30</v>
      </c>
      <c r="K456" s="1">
        <f>SUMIFS($U$2:$U$10,$R$2:$R$10,E456)</f>
        <v>7.0000000000000007E-2</v>
      </c>
      <c r="L456" s="1">
        <f>SUMIFS($V$2:$V$10,$R$2:$R$10,F456)</f>
        <v>0</v>
      </c>
      <c r="M456" s="1">
        <f>SUMIFS($T$2:$T$10,$R$2:$R$10,D456)</f>
        <v>0.37</v>
      </c>
    </row>
    <row r="457" spans="1:13" x14ac:dyDescent="0.25">
      <c r="A457" s="1">
        <f>(A$2+A$2*K457+A$2*L457)*(1+M457)</f>
        <v>695.2088</v>
      </c>
      <c r="B457" s="1">
        <f>(B$2+B$2*K457+B$2*L457)*(1+M457)</f>
        <v>808.62210000000005</v>
      </c>
      <c r="C457" s="1">
        <f>(C$2+C$2*K457+C$2*L457)*(1+M457)</f>
        <v>849.86329999999987</v>
      </c>
      <c r="D457" s="1">
        <v>8</v>
      </c>
      <c r="E457" s="1">
        <v>1</v>
      </c>
      <c r="F457" s="1">
        <v>2</v>
      </c>
      <c r="G457" s="1">
        <f>SUMIFS($S$2:$S$10,$R$2:$R$10,D457)</f>
        <v>27</v>
      </c>
      <c r="H457" s="1">
        <f>SUMIFS($S$2:$S$10,$R$2:$R$10,E457)</f>
        <v>1</v>
      </c>
      <c r="I457" s="1">
        <f>SUMIFS($S$2:$S$10,$R$2:$R$10,F457)</f>
        <v>2</v>
      </c>
      <c r="J457" s="1">
        <f>SUM(G457:I457)</f>
        <v>30</v>
      </c>
      <c r="K457" s="1">
        <f>SUMIFS($U$2:$U$10,$R$2:$R$10,E457)</f>
        <v>0.01</v>
      </c>
      <c r="L457" s="1">
        <f>SUMIFS($V$2:$V$10,$R$2:$R$10,F457)</f>
        <v>0.02</v>
      </c>
      <c r="M457" s="1">
        <f>SUMIFS($T$2:$T$10,$R$2:$R$10,D457)</f>
        <v>0.43</v>
      </c>
    </row>
    <row r="458" spans="1:13" x14ac:dyDescent="0.25">
      <c r="A458" s="1">
        <f>(A$2+A$2*K458+A$2*L458)*(1+M458)</f>
        <v>695.2088</v>
      </c>
      <c r="B458" s="1">
        <f>(B$2+B$2*K458+B$2*L458)*(1+M458)</f>
        <v>808.62210000000005</v>
      </c>
      <c r="C458" s="1">
        <f>(C$2+C$2*K458+C$2*L458)*(1+M458)</f>
        <v>849.86329999999987</v>
      </c>
      <c r="D458" s="1">
        <v>8</v>
      </c>
      <c r="E458" s="1">
        <v>2</v>
      </c>
      <c r="F458" s="1">
        <v>1</v>
      </c>
      <c r="G458" s="1">
        <f>SUMIFS($S$2:$S$10,$R$2:$R$10,D458)</f>
        <v>27</v>
      </c>
      <c r="H458" s="1">
        <f>SUMIFS($S$2:$S$10,$R$2:$R$10,E458)</f>
        <v>2</v>
      </c>
      <c r="I458" s="1">
        <f>SUMIFS($S$2:$S$10,$R$2:$R$10,F458)</f>
        <v>1</v>
      </c>
      <c r="J458" s="1">
        <f>SUM(G458:I458)</f>
        <v>30</v>
      </c>
      <c r="K458" s="1">
        <f>SUMIFS($U$2:$U$10,$R$2:$R$10,E458)</f>
        <v>0.02</v>
      </c>
      <c r="L458" s="1">
        <f>SUMIFS($V$2:$V$10,$R$2:$R$10,F458)</f>
        <v>0.01</v>
      </c>
      <c r="M458" s="1">
        <f>SUMIFS($T$2:$T$10,$R$2:$R$10,D458)</f>
        <v>0.43</v>
      </c>
    </row>
    <row r="459" spans="1:13" x14ac:dyDescent="0.25">
      <c r="A459" s="3">
        <f>(A$2+A$2*M459+A$2*L459)*(1+K459)</f>
        <v>671.37279999999998</v>
      </c>
      <c r="B459" s="3">
        <f>(B$2+B$2*M459+B$2*L459)*(1+K459)</f>
        <v>780.89760000000012</v>
      </c>
      <c r="C459" s="3">
        <f>(C$2+C$2*M459+C$2*L459)*(1+K459)</f>
        <v>820.72480000000007</v>
      </c>
      <c r="D459" s="3">
        <v>5</v>
      </c>
      <c r="E459" s="3">
        <v>5</v>
      </c>
      <c r="F459" s="3">
        <v>5</v>
      </c>
      <c r="G459" s="3">
        <f>SUMIFS($S$2:$S$10,$R$2:$R$10,D459)</f>
        <v>10</v>
      </c>
      <c r="H459" s="3">
        <f>SUMIFS($S$2:$S$10,$R$2:$R$10,E459)</f>
        <v>10</v>
      </c>
      <c r="I459" s="3">
        <f>SUMIFS($S$2:$S$10,$R$2:$R$10,F459)</f>
        <v>10</v>
      </c>
      <c r="J459" s="3">
        <f>SUM(G459:I459)</f>
        <v>30</v>
      </c>
      <c r="K459" s="3">
        <f>SUMIFS($T$2:$T$10,$R$2:$R$10,E459)</f>
        <v>0.27</v>
      </c>
      <c r="L459" s="3">
        <f>SUMIFS($V$2:$V$10,$R$2:$R$10,F459)</f>
        <v>0.05</v>
      </c>
      <c r="M459" s="3">
        <f>SUMIFS($U$2:$U$10,$R$2:$R$10,D459)</f>
        <v>7.0000000000000007E-2</v>
      </c>
    </row>
    <row r="460" spans="1:13" x14ac:dyDescent="0.25">
      <c r="A460" s="3">
        <f>(A$2+A$2*M460+A$2*L460)*(1+K460)</f>
        <v>542.80000000000007</v>
      </c>
      <c r="B460" s="3">
        <f>(B$2+B$2*M460+B$2*L460)*(1+K460)</f>
        <v>631.34999999999991</v>
      </c>
      <c r="C460" s="3">
        <f>(C$2+C$2*M460+C$2*L460)*(1+K460)</f>
        <v>663.55</v>
      </c>
      <c r="D460" s="3">
        <v>6</v>
      </c>
      <c r="E460" s="3">
        <v>0</v>
      </c>
      <c r="F460" s="3">
        <v>6</v>
      </c>
      <c r="G460" s="3">
        <f>SUMIFS($S$2:$S$10,$R$2:$R$10,D460)</f>
        <v>15</v>
      </c>
      <c r="H460" s="3">
        <f>SUMIFS($S$2:$S$10,$R$2:$R$10,E460)</f>
        <v>0</v>
      </c>
      <c r="I460" s="3">
        <f>SUMIFS($S$2:$S$10,$R$2:$R$10,F460)</f>
        <v>15</v>
      </c>
      <c r="J460" s="3">
        <f>SUM(G460:I460)</f>
        <v>30</v>
      </c>
      <c r="K460" s="3">
        <f>SUMIFS($T$2:$T$10,$R$2:$R$10,E460)</f>
        <v>0</v>
      </c>
      <c r="L460" s="3">
        <f>SUMIFS($V$2:$V$10,$R$2:$R$10,F460)</f>
        <v>0.06</v>
      </c>
      <c r="M460" s="3">
        <f>SUMIFS($U$2:$U$10,$R$2:$R$10,D460)</f>
        <v>0.09</v>
      </c>
    </row>
    <row r="461" spans="1:13" x14ac:dyDescent="0.25">
      <c r="A461" s="3">
        <f>(A$2+A$2*M461+A$2*L461)*(1+K461)</f>
        <v>679.11360000000002</v>
      </c>
      <c r="B461" s="3">
        <f>(B$2+B$2*M461+B$2*L461)*(1+K461)</f>
        <v>789.90120000000002</v>
      </c>
      <c r="C461" s="3">
        <f>(C$2+C$2*M461+C$2*L461)*(1+K461)</f>
        <v>830.18759999999997</v>
      </c>
      <c r="D461" s="3">
        <v>6</v>
      </c>
      <c r="E461" s="3">
        <v>6</v>
      </c>
      <c r="F461" s="3">
        <v>0</v>
      </c>
      <c r="G461" s="3">
        <f>SUMIFS($S$2:$S$10,$R$2:$R$10,D461)</f>
        <v>15</v>
      </c>
      <c r="H461" s="3">
        <f>SUMIFS($S$2:$S$10,$R$2:$R$10,E461)</f>
        <v>15</v>
      </c>
      <c r="I461" s="3">
        <f>SUMIFS($S$2:$S$10,$R$2:$R$10,F461)</f>
        <v>0</v>
      </c>
      <c r="J461" s="3">
        <f>SUM(G461:I461)</f>
        <v>30</v>
      </c>
      <c r="K461" s="3">
        <f>SUMIFS($T$2:$T$10,$R$2:$R$10,E461)</f>
        <v>0.32</v>
      </c>
      <c r="L461" s="3">
        <f>SUMIFS($V$2:$V$10,$R$2:$R$10,F461)</f>
        <v>0</v>
      </c>
      <c r="M461" s="3">
        <f>SUMIFS($U$2:$U$10,$R$2:$R$10,D461)</f>
        <v>0.09</v>
      </c>
    </row>
    <row r="462" spans="1:13" x14ac:dyDescent="0.25">
      <c r="A462" s="3">
        <f>(A$2+A$2*M462+A$2*L462)*(1+K462)</f>
        <v>547.52</v>
      </c>
      <c r="B462" s="3">
        <f>(B$2+B$2*M462+B$2*L462)*(1+K462)</f>
        <v>636.84</v>
      </c>
      <c r="C462" s="3">
        <f>(C$2+C$2*M462+C$2*L462)*(1+K462)</f>
        <v>669.32</v>
      </c>
      <c r="D462" s="3">
        <v>7</v>
      </c>
      <c r="E462" s="3">
        <v>0</v>
      </c>
      <c r="F462" s="3">
        <v>5</v>
      </c>
      <c r="G462" s="3">
        <f>SUMIFS($S$2:$S$10,$R$2:$R$10,D462)</f>
        <v>20</v>
      </c>
      <c r="H462" s="3">
        <f>SUMIFS($S$2:$S$10,$R$2:$R$10,E462)</f>
        <v>0</v>
      </c>
      <c r="I462" s="3">
        <f>SUMIFS($S$2:$S$10,$R$2:$R$10,F462)</f>
        <v>10</v>
      </c>
      <c r="J462" s="3">
        <f>SUM(G462:I462)</f>
        <v>30</v>
      </c>
      <c r="K462" s="3">
        <f>SUMIFS($T$2:$T$10,$R$2:$R$10,E462)</f>
        <v>0</v>
      </c>
      <c r="L462" s="3">
        <f>SUMIFS($V$2:$V$10,$R$2:$R$10,F462)</f>
        <v>0.05</v>
      </c>
      <c r="M462" s="3">
        <f>SUMIFS($U$2:$U$10,$R$2:$R$10,D462)</f>
        <v>0.11</v>
      </c>
    </row>
    <row r="463" spans="1:13" x14ac:dyDescent="0.25">
      <c r="A463" s="3">
        <f>(A$2+A$2*M463+A$2*L463)*(1+K463)</f>
        <v>665.37839999999994</v>
      </c>
      <c r="B463" s="3">
        <f>(B$2+B$2*M463+B$2*L463)*(1+K463)</f>
        <v>773.92529999999999</v>
      </c>
      <c r="C463" s="3">
        <f>(C$2+C$2*M463+C$2*L463)*(1+K463)</f>
        <v>813.39690000000007</v>
      </c>
      <c r="D463" s="3">
        <v>7</v>
      </c>
      <c r="E463" s="3">
        <v>5</v>
      </c>
      <c r="F463" s="3">
        <v>0</v>
      </c>
      <c r="G463" s="3">
        <f>SUMIFS($S$2:$S$10,$R$2:$R$10,D463)</f>
        <v>20</v>
      </c>
      <c r="H463" s="3">
        <f>SUMIFS($S$2:$S$10,$R$2:$R$10,E463)</f>
        <v>10</v>
      </c>
      <c r="I463" s="3">
        <f>SUMIFS($S$2:$S$10,$R$2:$R$10,F463)</f>
        <v>0</v>
      </c>
      <c r="J463" s="3">
        <f>SUM(G463:I463)</f>
        <v>30</v>
      </c>
      <c r="K463" s="3">
        <f>SUMIFS($T$2:$T$10,$R$2:$R$10,E463)</f>
        <v>0.27</v>
      </c>
      <c r="L463" s="3">
        <f>SUMIFS($V$2:$V$10,$R$2:$R$10,F463)</f>
        <v>0</v>
      </c>
      <c r="M463" s="3">
        <f>SUMIFS($U$2:$U$10,$R$2:$R$10,D463)</f>
        <v>0.11</v>
      </c>
    </row>
    <row r="464" spans="1:13" x14ac:dyDescent="0.25">
      <c r="A464" s="3">
        <f>(A$2+A$2*M464+A$2*L464)*(1+K464)</f>
        <v>613.36400000000003</v>
      </c>
      <c r="B464" s="3">
        <f>(B$2+B$2*M464+B$2*L464)*(1+K464)</f>
        <v>713.42549999999994</v>
      </c>
      <c r="C464" s="3">
        <f>(C$2+C$2*M464+C$2*L464)*(1+K464)</f>
        <v>749.81149999999991</v>
      </c>
      <c r="D464" s="3">
        <v>8</v>
      </c>
      <c r="E464" s="3">
        <v>1</v>
      </c>
      <c r="F464" s="3">
        <v>2</v>
      </c>
      <c r="G464" s="3">
        <f>SUMIFS($S$2:$S$10,$R$2:$R$10,D464)</f>
        <v>27</v>
      </c>
      <c r="H464" s="3">
        <f>SUMIFS($S$2:$S$10,$R$2:$R$10,E464)</f>
        <v>1</v>
      </c>
      <c r="I464" s="3">
        <f>SUMIFS($S$2:$S$10,$R$2:$R$10,F464)</f>
        <v>2</v>
      </c>
      <c r="J464" s="3">
        <f>SUM(G464:I464)</f>
        <v>30</v>
      </c>
      <c r="K464" s="3">
        <f>SUMIFS($T$2:$T$10,$R$2:$R$10,E464)</f>
        <v>0.13</v>
      </c>
      <c r="L464" s="3">
        <f>SUMIFS($V$2:$V$10,$R$2:$R$10,F464)</f>
        <v>0.02</v>
      </c>
      <c r="M464" s="3">
        <f>SUMIFS($U$2:$U$10,$R$2:$R$10,D464)</f>
        <v>0.13</v>
      </c>
    </row>
    <row r="465" spans="1:13" x14ac:dyDescent="0.25">
      <c r="A465" s="3">
        <f>(A$2+A$2*M465+A$2*L465)*(1+K465)</f>
        <v>624.17280000000005</v>
      </c>
      <c r="B465" s="3">
        <f>(B$2+B$2*M465+B$2*L465)*(1+K465)</f>
        <v>725.99759999999992</v>
      </c>
      <c r="C465" s="3">
        <f>(C$2+C$2*M465+C$2*L465)*(1+K465)</f>
        <v>763.02479999999991</v>
      </c>
      <c r="D465" s="3">
        <v>8</v>
      </c>
      <c r="E465" s="3">
        <v>2</v>
      </c>
      <c r="F465" s="3">
        <v>1</v>
      </c>
      <c r="G465" s="3">
        <f>SUMIFS($S$2:$S$10,$R$2:$R$10,D465)</f>
        <v>27</v>
      </c>
      <c r="H465" s="3">
        <f>SUMIFS($S$2:$S$10,$R$2:$R$10,E465)</f>
        <v>2</v>
      </c>
      <c r="I465" s="3">
        <f>SUMIFS($S$2:$S$10,$R$2:$R$10,F465)</f>
        <v>1</v>
      </c>
      <c r="J465" s="3">
        <f>SUM(G465:I465)</f>
        <v>30</v>
      </c>
      <c r="K465" s="3">
        <f>SUMIFS($T$2:$T$10,$R$2:$R$10,E465)</f>
        <v>0.16</v>
      </c>
      <c r="L465" s="3">
        <f>SUMIFS($V$2:$V$10,$R$2:$R$10,F465)</f>
        <v>0.01</v>
      </c>
      <c r="M465" s="3">
        <f>SUMIFS($U$2:$U$10,$R$2:$R$10,D465)</f>
        <v>0.13</v>
      </c>
    </row>
    <row r="466" spans="1:13" x14ac:dyDescent="0.25">
      <c r="A466" s="2">
        <f>(A$2+A$2*K466+A$2*M466)*(1+L466)</f>
        <v>671.37279999999998</v>
      </c>
      <c r="B466" s="2">
        <f>(B$2+B$2*K466+B$2*M466)*(1+L466)</f>
        <v>780.89760000000012</v>
      </c>
      <c r="C466" s="2">
        <f>(C$2+C$2*K466+C$2*M466)*(1+L466)</f>
        <v>820.72480000000007</v>
      </c>
      <c r="D466" s="2">
        <v>5</v>
      </c>
      <c r="E466" s="2">
        <v>5</v>
      </c>
      <c r="F466" s="2">
        <v>5</v>
      </c>
      <c r="G466" s="2">
        <f>SUMIFS($S$2:$S$10,$R$2:$R$10,D466)</f>
        <v>10</v>
      </c>
      <c r="H466" s="2">
        <f>SUMIFS($S$2:$S$10,$R$2:$R$10,E466)</f>
        <v>10</v>
      </c>
      <c r="I466" s="2">
        <f>SUMIFS($S$2:$S$10,$R$2:$R$10,F466)</f>
        <v>10</v>
      </c>
      <c r="J466" s="2">
        <f>SUM(G466:I466)</f>
        <v>30</v>
      </c>
      <c r="K466" s="2">
        <f>SUMIFS($U$2:$U$10,$R$2:$R$10,E466)</f>
        <v>7.0000000000000007E-2</v>
      </c>
      <c r="L466" s="2">
        <f>SUMIFS($T$2:$T$10,$R$2:$R$10,F466)</f>
        <v>0.27</v>
      </c>
      <c r="M466" s="2">
        <f>SUMIFS($V$2:$V$10,$R$2:$R$10,D466)</f>
        <v>0.05</v>
      </c>
    </row>
    <row r="467" spans="1:13" x14ac:dyDescent="0.25">
      <c r="A467" s="2">
        <f>(A$2+A$2*K467+A$2*M467)*(1+L467)</f>
        <v>660.42240000000004</v>
      </c>
      <c r="B467" s="2">
        <f>(B$2+B$2*K467+B$2*M467)*(1+L467)</f>
        <v>768.16080000000011</v>
      </c>
      <c r="C467" s="2">
        <f>(C$2+C$2*K467+C$2*M467)*(1+L467)</f>
        <v>807.33840000000009</v>
      </c>
      <c r="D467" s="2">
        <v>6</v>
      </c>
      <c r="E467" s="2">
        <v>0</v>
      </c>
      <c r="F467" s="2">
        <v>6</v>
      </c>
      <c r="G467" s="2">
        <f>SUMIFS($S$2:$S$10,$R$2:$R$10,D467)</f>
        <v>15</v>
      </c>
      <c r="H467" s="2">
        <f>SUMIFS($S$2:$S$10,$R$2:$R$10,E467)</f>
        <v>0</v>
      </c>
      <c r="I467" s="2">
        <f>SUMIFS($S$2:$S$10,$R$2:$R$10,F467)</f>
        <v>15</v>
      </c>
      <c r="J467" s="2">
        <f>SUM(G467:I467)</f>
        <v>30</v>
      </c>
      <c r="K467" s="2">
        <f>SUMIFS($U$2:$U$10,$R$2:$R$10,E467)</f>
        <v>0</v>
      </c>
      <c r="L467" s="2">
        <f>SUMIFS($T$2:$T$10,$R$2:$R$10,F467)</f>
        <v>0.32</v>
      </c>
      <c r="M467" s="2">
        <f>SUMIFS($V$2:$V$10,$R$2:$R$10,D467)</f>
        <v>0.06</v>
      </c>
    </row>
    <row r="468" spans="1:13" x14ac:dyDescent="0.25">
      <c r="A468" s="2">
        <f>(A$2+A$2*K468+A$2*M468)*(1+L468)</f>
        <v>542.80000000000007</v>
      </c>
      <c r="B468" s="2">
        <f>(B$2+B$2*K468+B$2*M468)*(1+L468)</f>
        <v>631.34999999999991</v>
      </c>
      <c r="C468" s="2">
        <f>(C$2+C$2*K468+C$2*M468)*(1+L468)</f>
        <v>663.55</v>
      </c>
      <c r="D468" s="2">
        <v>6</v>
      </c>
      <c r="E468" s="2">
        <v>6</v>
      </c>
      <c r="F468" s="2">
        <v>0</v>
      </c>
      <c r="G468" s="2">
        <f>SUMIFS($S$2:$S$10,$R$2:$R$10,D468)</f>
        <v>15</v>
      </c>
      <c r="H468" s="2">
        <f>SUMIFS($S$2:$S$10,$R$2:$R$10,E468)</f>
        <v>15</v>
      </c>
      <c r="I468" s="2">
        <f>SUMIFS($S$2:$S$10,$R$2:$R$10,F468)</f>
        <v>0</v>
      </c>
      <c r="J468" s="2">
        <f>SUM(G468:I468)</f>
        <v>30</v>
      </c>
      <c r="K468" s="2">
        <f>SUMIFS($U$2:$U$10,$R$2:$R$10,E468)</f>
        <v>0.09</v>
      </c>
      <c r="L468" s="2">
        <f>SUMIFS($T$2:$T$10,$R$2:$R$10,F468)</f>
        <v>0</v>
      </c>
      <c r="M468" s="2">
        <f>SUMIFS($V$2:$V$10,$R$2:$R$10,D468)</f>
        <v>0.06</v>
      </c>
    </row>
    <row r="469" spans="1:13" x14ac:dyDescent="0.25">
      <c r="A469" s="2">
        <f>(A$2+A$2*K469+A$2*M469)*(1+L469)</f>
        <v>641.4008</v>
      </c>
      <c r="B469" s="2">
        <f>(B$2+B$2*K469+B$2*M469)*(1+L469)</f>
        <v>746.03610000000015</v>
      </c>
      <c r="C469" s="2">
        <f>(C$2+C$2*K469+C$2*M469)*(1+L469)</f>
        <v>784.08529999999996</v>
      </c>
      <c r="D469" s="2">
        <v>7</v>
      </c>
      <c r="E469" s="2">
        <v>0</v>
      </c>
      <c r="F469" s="2">
        <v>5</v>
      </c>
      <c r="G469" s="2">
        <f>SUMIFS($S$2:$S$10,$R$2:$R$10,D469)</f>
        <v>20</v>
      </c>
      <c r="H469" s="2">
        <f>SUMIFS($S$2:$S$10,$R$2:$R$10,E469)</f>
        <v>0</v>
      </c>
      <c r="I469" s="2">
        <f>SUMIFS($S$2:$S$10,$R$2:$R$10,F469)</f>
        <v>10</v>
      </c>
      <c r="J469" s="2">
        <f>SUM(G469:I469)</f>
        <v>30</v>
      </c>
      <c r="K469" s="2">
        <f>SUMIFS($U$2:$U$10,$R$2:$R$10,E469)</f>
        <v>0</v>
      </c>
      <c r="L469" s="2">
        <f>SUMIFS($T$2:$T$10,$R$2:$R$10,F469)</f>
        <v>0.27</v>
      </c>
      <c r="M469" s="2">
        <f>SUMIFS($V$2:$V$10,$R$2:$R$10,D469)</f>
        <v>7.0000000000000007E-2</v>
      </c>
    </row>
    <row r="470" spans="1:13" x14ac:dyDescent="0.25">
      <c r="A470" s="2">
        <f>(A$2+A$2*K470+A$2*M470)*(1+L470)</f>
        <v>538.08000000000004</v>
      </c>
      <c r="B470" s="2">
        <f>(B$2+B$2*K470+B$2*M470)*(1+L470)</f>
        <v>625.86000000000013</v>
      </c>
      <c r="C470" s="2">
        <f>(C$2+C$2*K470+C$2*M470)*(1+L470)</f>
        <v>657.78</v>
      </c>
      <c r="D470" s="2">
        <v>7</v>
      </c>
      <c r="E470" s="2">
        <v>5</v>
      </c>
      <c r="F470" s="2">
        <v>0</v>
      </c>
      <c r="G470" s="2">
        <f>SUMIFS($S$2:$S$10,$R$2:$R$10,D470)</f>
        <v>20</v>
      </c>
      <c r="H470" s="2">
        <f>SUMIFS($S$2:$S$10,$R$2:$R$10,E470)</f>
        <v>10</v>
      </c>
      <c r="I470" s="2">
        <f>SUMIFS($S$2:$S$10,$R$2:$R$10,F470)</f>
        <v>0</v>
      </c>
      <c r="J470" s="2">
        <f>SUM(G470:I470)</f>
        <v>30</v>
      </c>
      <c r="K470" s="2">
        <f>SUMIFS($U$2:$U$10,$R$2:$R$10,E470)</f>
        <v>7.0000000000000007E-2</v>
      </c>
      <c r="L470" s="2">
        <f>SUMIFS($T$2:$T$10,$R$2:$R$10,F470)</f>
        <v>0</v>
      </c>
      <c r="M470" s="2">
        <f>SUMIFS($V$2:$V$10,$R$2:$R$10,D470)</f>
        <v>7.0000000000000007E-2</v>
      </c>
    </row>
    <row r="471" spans="1:13" x14ac:dyDescent="0.25">
      <c r="A471" s="2">
        <f>(A$2+A$2*K471+A$2*M471)*(1+L471)</f>
        <v>596.79679999999996</v>
      </c>
      <c r="B471" s="2">
        <f>(B$2+B$2*K471+B$2*M471)*(1+L471)</f>
        <v>694.15559999999994</v>
      </c>
      <c r="C471" s="2">
        <f>(C$2+C$2*K471+C$2*M471)*(1+L471)</f>
        <v>729.55879999999991</v>
      </c>
      <c r="D471" s="2">
        <v>8</v>
      </c>
      <c r="E471" s="2">
        <v>1</v>
      </c>
      <c r="F471" s="2">
        <v>2</v>
      </c>
      <c r="G471" s="2">
        <f>SUMIFS($S$2:$S$10,$R$2:$R$10,D471)</f>
        <v>27</v>
      </c>
      <c r="H471" s="2">
        <f>SUMIFS($S$2:$S$10,$R$2:$R$10,E471)</f>
        <v>1</v>
      </c>
      <c r="I471" s="2">
        <f>SUMIFS($S$2:$S$10,$R$2:$R$10,F471)</f>
        <v>2</v>
      </c>
      <c r="J471" s="2">
        <f>SUM(G471:I471)</f>
        <v>30</v>
      </c>
      <c r="K471" s="2">
        <f>SUMIFS($U$2:$U$10,$R$2:$R$10,E471)</f>
        <v>0.01</v>
      </c>
      <c r="L471" s="2">
        <f>SUMIFS($T$2:$T$10,$R$2:$R$10,F471)</f>
        <v>0.16</v>
      </c>
      <c r="M471" s="2">
        <f>SUMIFS($V$2:$V$10,$R$2:$R$10,D471)</f>
        <v>0.08</v>
      </c>
    </row>
    <row r="472" spans="1:13" x14ac:dyDescent="0.25">
      <c r="A472" s="2">
        <f>(A$2+A$2*K472+A$2*M472)*(1+L472)</f>
        <v>586.69600000000003</v>
      </c>
      <c r="B472" s="2">
        <f>(B$2+B$2*K472+B$2*M472)*(1+L472)</f>
        <v>682.40699999999993</v>
      </c>
      <c r="C472" s="2">
        <f>(C$2+C$2*K472+C$2*M472)*(1+L472)</f>
        <v>717.2109999999999</v>
      </c>
      <c r="D472" s="2">
        <v>8</v>
      </c>
      <c r="E472" s="2">
        <v>2</v>
      </c>
      <c r="F472" s="2">
        <v>1</v>
      </c>
      <c r="G472" s="2">
        <f>SUMIFS($S$2:$S$10,$R$2:$R$10,D472)</f>
        <v>27</v>
      </c>
      <c r="H472" s="2">
        <f>SUMIFS($S$2:$S$10,$R$2:$R$10,E472)</f>
        <v>2</v>
      </c>
      <c r="I472" s="2">
        <f>SUMIFS($S$2:$S$10,$R$2:$R$10,F472)</f>
        <v>1</v>
      </c>
      <c r="J472" s="2">
        <f>SUM(G472:I472)</f>
        <v>30</v>
      </c>
      <c r="K472" s="2">
        <f>SUMIFS($U$2:$U$10,$R$2:$R$10,E472)</f>
        <v>0.02</v>
      </c>
      <c r="L472" s="2">
        <f>SUMIFS($T$2:$T$10,$R$2:$R$10,F472)</f>
        <v>0.13</v>
      </c>
      <c r="M472" s="2">
        <f>SUMIFS($V$2:$V$10,$R$2:$R$10,D472)</f>
        <v>0.08</v>
      </c>
    </row>
    <row r="473" spans="1:13" x14ac:dyDescent="0.25">
      <c r="A473" s="1">
        <f>(A$2+A$2*K473+A$2*L473)*(1+M473)</f>
        <v>666.65280000000007</v>
      </c>
      <c r="B473" s="1">
        <f>(B$2+B$2*K473+B$2*L473)*(1+M473)</f>
        <v>775.40760000000012</v>
      </c>
      <c r="C473" s="1">
        <f>(C$2+C$2*K473+C$2*L473)*(1+M473)</f>
        <v>814.95479999999998</v>
      </c>
      <c r="D473" s="1">
        <v>6</v>
      </c>
      <c r="E473" s="1">
        <v>1</v>
      </c>
      <c r="F473" s="1">
        <v>6</v>
      </c>
      <c r="G473" s="1">
        <f>SUMIFS($S$2:$S$10,$R$2:$R$10,D473)</f>
        <v>15</v>
      </c>
      <c r="H473" s="1">
        <f>SUMIFS($S$2:$S$10,$R$2:$R$10,E473)</f>
        <v>1</v>
      </c>
      <c r="I473" s="1">
        <f>SUMIFS($S$2:$S$10,$R$2:$R$10,F473)</f>
        <v>15</v>
      </c>
      <c r="J473" s="1">
        <f>SUM(G473:I473)</f>
        <v>31</v>
      </c>
      <c r="K473" s="1">
        <f>SUMIFS($U$2:$U$10,$R$2:$R$10,E473)</f>
        <v>0.01</v>
      </c>
      <c r="L473" s="1">
        <f>SUMIFS($V$2:$V$10,$R$2:$R$10,F473)</f>
        <v>0.06</v>
      </c>
      <c r="M473" s="1">
        <f>SUMIFS($T$2:$T$10,$R$2:$R$10,D473)</f>
        <v>0.32</v>
      </c>
    </row>
    <row r="474" spans="1:13" x14ac:dyDescent="0.25">
      <c r="A474" s="1">
        <f>(A$2+A$2*K474+A$2*L474)*(1+M474)</f>
        <v>685.34400000000005</v>
      </c>
      <c r="B474" s="1">
        <f>(B$2+B$2*K474+B$2*L474)*(1+M474)</f>
        <v>797.14800000000002</v>
      </c>
      <c r="C474" s="1">
        <f>(C$2+C$2*K474+C$2*L474)*(1+M474)</f>
        <v>837.80399999999997</v>
      </c>
      <c r="D474" s="1">
        <v>6</v>
      </c>
      <c r="E474" s="1">
        <v>6</v>
      </c>
      <c r="F474" s="1">
        <v>1</v>
      </c>
      <c r="G474" s="1">
        <f>SUMIFS($S$2:$S$10,$R$2:$R$10,D474)</f>
        <v>15</v>
      </c>
      <c r="H474" s="1">
        <f>SUMIFS($S$2:$S$10,$R$2:$R$10,E474)</f>
        <v>15</v>
      </c>
      <c r="I474" s="1">
        <f>SUMIFS($S$2:$S$10,$R$2:$R$10,F474)</f>
        <v>1</v>
      </c>
      <c r="J474" s="1">
        <f>SUM(G474:I474)</f>
        <v>31</v>
      </c>
      <c r="K474" s="1">
        <f>SUMIFS($U$2:$U$10,$R$2:$R$10,E474)</f>
        <v>0.09</v>
      </c>
      <c r="L474" s="1">
        <f>SUMIFS($V$2:$V$10,$R$2:$R$10,F474)</f>
        <v>0.01</v>
      </c>
      <c r="M474" s="1">
        <f>SUMIFS($T$2:$T$10,$R$2:$R$10,D474)</f>
        <v>0.32</v>
      </c>
    </row>
    <row r="475" spans="1:13" x14ac:dyDescent="0.25">
      <c r="A475" s="1">
        <f>(A$2+A$2*K475+A$2*L475)*(1+M475)</f>
        <v>685.43840000000012</v>
      </c>
      <c r="B475" s="1">
        <f>(B$2+B$2*K475+B$2*L475)*(1+M475)</f>
        <v>797.25780000000009</v>
      </c>
      <c r="C475" s="1">
        <f>(C$2+C$2*K475+C$2*L475)*(1+M475)</f>
        <v>837.91940000000011</v>
      </c>
      <c r="D475" s="1">
        <v>7</v>
      </c>
      <c r="E475" s="1">
        <v>1</v>
      </c>
      <c r="F475" s="1">
        <v>5</v>
      </c>
      <c r="G475" s="1">
        <f>SUMIFS($S$2:$S$10,$R$2:$R$10,D475)</f>
        <v>20</v>
      </c>
      <c r="H475" s="1">
        <f>SUMIFS($S$2:$S$10,$R$2:$R$10,E475)</f>
        <v>1</v>
      </c>
      <c r="I475" s="1">
        <f>SUMIFS($S$2:$S$10,$R$2:$R$10,F475)</f>
        <v>10</v>
      </c>
      <c r="J475" s="1">
        <f>SUM(G475:I475)</f>
        <v>31</v>
      </c>
      <c r="K475" s="1">
        <f>SUMIFS($U$2:$U$10,$R$2:$R$10,E475)</f>
        <v>0.01</v>
      </c>
      <c r="L475" s="1">
        <f>SUMIFS($V$2:$V$10,$R$2:$R$10,F475)</f>
        <v>0.05</v>
      </c>
      <c r="M475" s="1">
        <f>SUMIFS($T$2:$T$10,$R$2:$R$10,D475)</f>
        <v>0.37</v>
      </c>
    </row>
    <row r="476" spans="1:13" x14ac:dyDescent="0.25">
      <c r="A476" s="1">
        <f>(A$2+A$2*K476+A$2*L476)*(1+M476)</f>
        <v>691.90480000000014</v>
      </c>
      <c r="B476" s="1">
        <f>(B$2+B$2*K476+B$2*L476)*(1+M476)</f>
        <v>804.7791000000002</v>
      </c>
      <c r="C476" s="1">
        <f>(C$2+C$2*K476+C$2*L476)*(1+M476)</f>
        <v>845.82429999999999</v>
      </c>
      <c r="D476" s="1">
        <v>7</v>
      </c>
      <c r="E476" s="1">
        <v>3</v>
      </c>
      <c r="F476" s="1">
        <v>4</v>
      </c>
      <c r="G476" s="1">
        <f>SUMIFS($S$2:$S$10,$R$2:$R$10,D476)</f>
        <v>20</v>
      </c>
      <c r="H476" s="1">
        <f>SUMIFS($S$2:$S$10,$R$2:$R$10,E476)</f>
        <v>4</v>
      </c>
      <c r="I476" s="1">
        <f>SUMIFS($S$2:$S$10,$R$2:$R$10,F476)</f>
        <v>7</v>
      </c>
      <c r="J476" s="1">
        <f>SUM(G476:I476)</f>
        <v>31</v>
      </c>
      <c r="K476" s="1">
        <f>SUMIFS($U$2:$U$10,$R$2:$R$10,E476)</f>
        <v>0.03</v>
      </c>
      <c r="L476" s="1">
        <f>SUMIFS($V$2:$V$10,$R$2:$R$10,F476)</f>
        <v>0.04</v>
      </c>
      <c r="M476" s="1">
        <f>SUMIFS($T$2:$T$10,$R$2:$R$10,D476)</f>
        <v>0.37</v>
      </c>
    </row>
    <row r="477" spans="1:13" x14ac:dyDescent="0.25">
      <c r="A477" s="1">
        <f>(A$2+A$2*K477+A$2*L477)*(1+M477)</f>
        <v>698.37120000000016</v>
      </c>
      <c r="B477" s="1">
        <f>(B$2+B$2*K477+B$2*L477)*(1+M477)</f>
        <v>812.3004000000002</v>
      </c>
      <c r="C477" s="1">
        <f>(C$2+C$2*K477+C$2*L477)*(1+M477)</f>
        <v>853.72919999999999</v>
      </c>
      <c r="D477" s="1">
        <v>7</v>
      </c>
      <c r="E477" s="1">
        <v>4</v>
      </c>
      <c r="F477" s="1">
        <v>3</v>
      </c>
      <c r="G477" s="1">
        <f>SUMIFS($S$2:$S$10,$R$2:$R$10,D477)</f>
        <v>20</v>
      </c>
      <c r="H477" s="1">
        <f>SUMIFS($S$2:$S$10,$R$2:$R$10,E477)</f>
        <v>7</v>
      </c>
      <c r="I477" s="1">
        <f>SUMIFS($S$2:$S$10,$R$2:$R$10,F477)</f>
        <v>4</v>
      </c>
      <c r="J477" s="1">
        <f>SUM(G477:I477)</f>
        <v>31</v>
      </c>
      <c r="K477" s="1">
        <f>SUMIFS($U$2:$U$10,$R$2:$R$10,E477)</f>
        <v>0.05</v>
      </c>
      <c r="L477" s="1">
        <f>SUMIFS($V$2:$V$10,$R$2:$R$10,F477)</f>
        <v>0.03</v>
      </c>
      <c r="M477" s="1">
        <f>SUMIFS($T$2:$T$10,$R$2:$R$10,D477)</f>
        <v>0.37</v>
      </c>
    </row>
    <row r="478" spans="1:13" x14ac:dyDescent="0.25">
      <c r="A478" s="1">
        <f>(A$2+A$2*K478+A$2*L478)*(1+M478)</f>
        <v>698.37120000000016</v>
      </c>
      <c r="B478" s="1">
        <f>(B$2+B$2*K478+B$2*L478)*(1+M478)</f>
        <v>812.3004000000002</v>
      </c>
      <c r="C478" s="1">
        <f>(C$2+C$2*K478+C$2*L478)*(1+M478)</f>
        <v>853.72919999999999</v>
      </c>
      <c r="D478" s="1">
        <v>7</v>
      </c>
      <c r="E478" s="1">
        <v>5</v>
      </c>
      <c r="F478" s="1">
        <v>1</v>
      </c>
      <c r="G478" s="1">
        <f>SUMIFS($S$2:$S$10,$R$2:$R$10,D478)</f>
        <v>20</v>
      </c>
      <c r="H478" s="1">
        <f>SUMIFS($S$2:$S$10,$R$2:$R$10,E478)</f>
        <v>10</v>
      </c>
      <c r="I478" s="1">
        <f>SUMIFS($S$2:$S$10,$R$2:$R$10,F478)</f>
        <v>1</v>
      </c>
      <c r="J478" s="1">
        <f>SUM(G478:I478)</f>
        <v>31</v>
      </c>
      <c r="K478" s="1">
        <f>SUMIFS($U$2:$U$10,$R$2:$R$10,E478)</f>
        <v>7.0000000000000007E-2</v>
      </c>
      <c r="L478" s="1">
        <f>SUMIFS($V$2:$V$10,$R$2:$R$10,F478)</f>
        <v>0.01</v>
      </c>
      <c r="M478" s="1">
        <f>SUMIFS($T$2:$T$10,$R$2:$R$10,D478)</f>
        <v>0.37</v>
      </c>
    </row>
    <row r="479" spans="1:13" x14ac:dyDescent="0.25">
      <c r="A479" s="1">
        <f>(A$2+A$2*K479+A$2*L479)*(1+M479)</f>
        <v>695.2088</v>
      </c>
      <c r="B479" s="1">
        <f>(B$2+B$2*K479+B$2*L479)*(1+M479)</f>
        <v>808.62210000000005</v>
      </c>
      <c r="C479" s="1">
        <f>(C$2+C$2*K479+C$2*L479)*(1+M479)</f>
        <v>849.86329999999987</v>
      </c>
      <c r="D479" s="1">
        <v>8</v>
      </c>
      <c r="E479" s="1">
        <v>0</v>
      </c>
      <c r="F479" s="1">
        <v>3</v>
      </c>
      <c r="G479" s="1">
        <f>SUMIFS($S$2:$S$10,$R$2:$R$10,D479)</f>
        <v>27</v>
      </c>
      <c r="H479" s="1">
        <f>SUMIFS($S$2:$S$10,$R$2:$R$10,E479)</f>
        <v>0</v>
      </c>
      <c r="I479" s="1">
        <f>SUMIFS($S$2:$S$10,$R$2:$R$10,F479)</f>
        <v>4</v>
      </c>
      <c r="J479" s="1">
        <f>SUM(G479:I479)</f>
        <v>31</v>
      </c>
      <c r="K479" s="1">
        <f>SUMIFS($U$2:$U$10,$R$2:$R$10,E479)</f>
        <v>0</v>
      </c>
      <c r="L479" s="1">
        <f>SUMIFS($V$2:$V$10,$R$2:$R$10,F479)</f>
        <v>0.03</v>
      </c>
      <c r="M479" s="1">
        <f>SUMIFS($T$2:$T$10,$R$2:$R$10,D479)</f>
        <v>0.43</v>
      </c>
    </row>
    <row r="480" spans="1:13" x14ac:dyDescent="0.25">
      <c r="A480" s="1">
        <f>(A$2+A$2*K480+A$2*L480)*(1+M480)</f>
        <v>701.95839999999998</v>
      </c>
      <c r="B480" s="1">
        <f>(B$2+B$2*K480+B$2*L480)*(1+M480)</f>
        <v>816.47280000000001</v>
      </c>
      <c r="C480" s="1">
        <f>(C$2+C$2*K480+C$2*L480)*(1+M480)</f>
        <v>858.11439999999982</v>
      </c>
      <c r="D480" s="1">
        <v>8</v>
      </c>
      <c r="E480" s="1">
        <v>2</v>
      </c>
      <c r="F480" s="1">
        <v>2</v>
      </c>
      <c r="G480" s="1">
        <f>SUMIFS($S$2:$S$10,$R$2:$R$10,D480)</f>
        <v>27</v>
      </c>
      <c r="H480" s="1">
        <f>SUMIFS($S$2:$S$10,$R$2:$R$10,E480)</f>
        <v>2</v>
      </c>
      <c r="I480" s="1">
        <f>SUMIFS($S$2:$S$10,$R$2:$R$10,F480)</f>
        <v>2</v>
      </c>
      <c r="J480" s="1">
        <f>SUM(G480:I480)</f>
        <v>31</v>
      </c>
      <c r="K480" s="1">
        <f>SUMIFS($U$2:$U$10,$R$2:$R$10,E480)</f>
        <v>0.02</v>
      </c>
      <c r="L480" s="1">
        <f>SUMIFS($V$2:$V$10,$R$2:$R$10,F480)</f>
        <v>0.02</v>
      </c>
      <c r="M480" s="1">
        <f>SUMIFS($T$2:$T$10,$R$2:$R$10,D480)</f>
        <v>0.43</v>
      </c>
    </row>
    <row r="481" spans="1:13" x14ac:dyDescent="0.25">
      <c r="A481" s="1">
        <f>(A$2+A$2*K481+A$2*L481)*(1+M481)</f>
        <v>695.2088</v>
      </c>
      <c r="B481" s="1">
        <f>(B$2+B$2*K481+B$2*L481)*(1+M481)</f>
        <v>808.62210000000005</v>
      </c>
      <c r="C481" s="1">
        <f>(C$2+C$2*K481+C$2*L481)*(1+M481)</f>
        <v>849.86329999999987</v>
      </c>
      <c r="D481" s="1">
        <v>8</v>
      </c>
      <c r="E481" s="1">
        <v>3</v>
      </c>
      <c r="F481" s="1">
        <v>0</v>
      </c>
      <c r="G481" s="1">
        <f>SUMIFS($S$2:$S$10,$R$2:$R$10,D481)</f>
        <v>27</v>
      </c>
      <c r="H481" s="1">
        <f>SUMIFS($S$2:$S$10,$R$2:$R$10,E481)</f>
        <v>4</v>
      </c>
      <c r="I481" s="1">
        <f>SUMIFS($S$2:$S$10,$R$2:$R$10,F481)</f>
        <v>0</v>
      </c>
      <c r="J481" s="1">
        <f>SUM(G481:I481)</f>
        <v>31</v>
      </c>
      <c r="K481" s="1">
        <f>SUMIFS($U$2:$U$10,$R$2:$R$10,E481)</f>
        <v>0.03</v>
      </c>
      <c r="L481" s="1">
        <f>SUMIFS($V$2:$V$10,$R$2:$R$10,F481)</f>
        <v>0</v>
      </c>
      <c r="M481" s="1">
        <f>SUMIFS($T$2:$T$10,$R$2:$R$10,D481)</f>
        <v>0.43</v>
      </c>
    </row>
    <row r="482" spans="1:13" x14ac:dyDescent="0.25">
      <c r="A482" s="3">
        <f>(A$2+A$2*M482+A$2*L482)*(1+K482)</f>
        <v>613.36400000000003</v>
      </c>
      <c r="B482" s="3">
        <f>(B$2+B$2*M482+B$2*L482)*(1+K482)</f>
        <v>713.42549999999983</v>
      </c>
      <c r="C482" s="3">
        <f>(C$2+C$2*M482+C$2*L482)*(1+K482)</f>
        <v>749.81149999999991</v>
      </c>
      <c r="D482" s="3">
        <v>6</v>
      </c>
      <c r="E482" s="3">
        <v>1</v>
      </c>
      <c r="F482" s="3">
        <v>6</v>
      </c>
      <c r="G482" s="3">
        <f>SUMIFS($S$2:$S$10,$R$2:$R$10,D482)</f>
        <v>15</v>
      </c>
      <c r="H482" s="3">
        <f>SUMIFS($S$2:$S$10,$R$2:$R$10,E482)</f>
        <v>1</v>
      </c>
      <c r="I482" s="3">
        <f>SUMIFS($S$2:$S$10,$R$2:$R$10,F482)</f>
        <v>15</v>
      </c>
      <c r="J482" s="3">
        <f>SUM(G482:I482)</f>
        <v>31</v>
      </c>
      <c r="K482" s="3">
        <f>SUMIFS($T$2:$T$10,$R$2:$R$10,E482)</f>
        <v>0.13</v>
      </c>
      <c r="L482" s="3">
        <f>SUMIFS($V$2:$V$10,$R$2:$R$10,F482)</f>
        <v>0.06</v>
      </c>
      <c r="M482" s="3">
        <f>SUMIFS($U$2:$U$10,$R$2:$R$10,D482)</f>
        <v>0.09</v>
      </c>
    </row>
    <row r="483" spans="1:13" x14ac:dyDescent="0.25">
      <c r="A483" s="3">
        <f>(A$2+A$2*M483+A$2*L483)*(1+K483)</f>
        <v>685.34400000000005</v>
      </c>
      <c r="B483" s="3">
        <f>(B$2+B$2*M483+B$2*L483)*(1+K483)</f>
        <v>797.14800000000002</v>
      </c>
      <c r="C483" s="3">
        <f>(C$2+C$2*M483+C$2*L483)*(1+K483)</f>
        <v>837.80399999999997</v>
      </c>
      <c r="D483" s="3">
        <v>6</v>
      </c>
      <c r="E483" s="3">
        <v>6</v>
      </c>
      <c r="F483" s="3">
        <v>1</v>
      </c>
      <c r="G483" s="3">
        <f>SUMIFS($S$2:$S$10,$R$2:$R$10,D483)</f>
        <v>15</v>
      </c>
      <c r="H483" s="3">
        <f>SUMIFS($S$2:$S$10,$R$2:$R$10,E483)</f>
        <v>15</v>
      </c>
      <c r="I483" s="3">
        <f>SUMIFS($S$2:$S$10,$R$2:$R$10,F483)</f>
        <v>1</v>
      </c>
      <c r="J483" s="3">
        <f>SUM(G483:I483)</f>
        <v>31</v>
      </c>
      <c r="K483" s="3">
        <f>SUMIFS($T$2:$T$10,$R$2:$R$10,E483)</f>
        <v>0.32</v>
      </c>
      <c r="L483" s="3">
        <f>SUMIFS($V$2:$V$10,$R$2:$R$10,F483)</f>
        <v>0.01</v>
      </c>
      <c r="M483" s="3">
        <f>SUMIFS($U$2:$U$10,$R$2:$R$10,D483)</f>
        <v>0.09</v>
      </c>
    </row>
    <row r="484" spans="1:13" x14ac:dyDescent="0.25">
      <c r="A484" s="3">
        <f>(A$2+A$2*M484+A$2*L484)*(1+K484)</f>
        <v>618.69759999999997</v>
      </c>
      <c r="B484" s="3">
        <f>(B$2+B$2*M484+B$2*L484)*(1+K484)</f>
        <v>719.62919999999997</v>
      </c>
      <c r="C484" s="3">
        <f>(C$2+C$2*M484+C$2*L484)*(1+K484)</f>
        <v>756.33159999999998</v>
      </c>
      <c r="D484" s="3">
        <v>7</v>
      </c>
      <c r="E484" s="3">
        <v>1</v>
      </c>
      <c r="F484" s="3">
        <v>5</v>
      </c>
      <c r="G484" s="3">
        <f>SUMIFS($S$2:$S$10,$R$2:$R$10,D484)</f>
        <v>20</v>
      </c>
      <c r="H484" s="3">
        <f>SUMIFS($S$2:$S$10,$R$2:$R$10,E484)</f>
        <v>1</v>
      </c>
      <c r="I484" s="3">
        <f>SUMIFS($S$2:$S$10,$R$2:$R$10,F484)</f>
        <v>10</v>
      </c>
      <c r="J484" s="3">
        <f>SUM(G484:I484)</f>
        <v>31</v>
      </c>
      <c r="K484" s="3">
        <f>SUMIFS($T$2:$T$10,$R$2:$R$10,E484)</f>
        <v>0.13</v>
      </c>
      <c r="L484" s="3">
        <f>SUMIFS($V$2:$V$10,$R$2:$R$10,F484)</f>
        <v>0.05</v>
      </c>
      <c r="M484" s="3">
        <f>SUMIFS($U$2:$U$10,$R$2:$R$10,D484)</f>
        <v>0.11</v>
      </c>
    </row>
    <row r="485" spans="1:13" x14ac:dyDescent="0.25">
      <c r="A485" s="3">
        <f>(A$2+A$2*M485+A$2*L485)*(1+K485)</f>
        <v>645.9319999999999</v>
      </c>
      <c r="B485" s="3">
        <f>(B$2+B$2*M485+B$2*L485)*(1+K485)</f>
        <v>751.30650000000003</v>
      </c>
      <c r="C485" s="3">
        <f>(C$2+C$2*M485+C$2*L485)*(1+K485)</f>
        <v>789.62450000000001</v>
      </c>
      <c r="D485" s="3">
        <v>7</v>
      </c>
      <c r="E485" s="3">
        <v>3</v>
      </c>
      <c r="F485" s="3">
        <v>4</v>
      </c>
      <c r="G485" s="3">
        <f>SUMIFS($S$2:$S$10,$R$2:$R$10,D485)</f>
        <v>20</v>
      </c>
      <c r="H485" s="3">
        <f>SUMIFS($S$2:$S$10,$R$2:$R$10,E485)</f>
        <v>4</v>
      </c>
      <c r="I485" s="3">
        <f>SUMIFS($S$2:$S$10,$R$2:$R$10,F485)</f>
        <v>7</v>
      </c>
      <c r="J485" s="3">
        <f>SUM(G485:I485)</f>
        <v>31</v>
      </c>
      <c r="K485" s="3">
        <f>SUMIFS($T$2:$T$10,$R$2:$R$10,E485)</f>
        <v>0.19</v>
      </c>
      <c r="L485" s="3">
        <f>SUMIFS($V$2:$V$10,$R$2:$R$10,F485)</f>
        <v>0.04</v>
      </c>
      <c r="M485" s="3">
        <f>SUMIFS($U$2:$U$10,$R$2:$R$10,D485)</f>
        <v>0.11</v>
      </c>
    </row>
    <row r="486" spans="1:13" x14ac:dyDescent="0.25">
      <c r="A486" s="3">
        <f>(A$2+A$2*M486+A$2*L486)*(1+K486)</f>
        <v>656.45759999999984</v>
      </c>
      <c r="B486" s="3">
        <f>(B$2+B$2*M486+B$2*L486)*(1+K486)</f>
        <v>763.54920000000004</v>
      </c>
      <c r="C486" s="3">
        <f>(C$2+C$2*M486+C$2*L486)*(1+K486)</f>
        <v>802.49159999999995</v>
      </c>
      <c r="D486" s="3">
        <v>7</v>
      </c>
      <c r="E486" s="3">
        <v>4</v>
      </c>
      <c r="F486" s="3">
        <v>3</v>
      </c>
      <c r="G486" s="3">
        <f>SUMIFS($S$2:$S$10,$R$2:$R$10,D486)</f>
        <v>20</v>
      </c>
      <c r="H486" s="3">
        <f>SUMIFS($S$2:$S$10,$R$2:$R$10,E486)</f>
        <v>7</v>
      </c>
      <c r="I486" s="3">
        <f>SUMIFS($S$2:$S$10,$R$2:$R$10,F486)</f>
        <v>4</v>
      </c>
      <c r="J486" s="3">
        <f>SUM(G486:I486)</f>
        <v>31</v>
      </c>
      <c r="K486" s="3">
        <f>SUMIFS($T$2:$T$10,$R$2:$R$10,E486)</f>
        <v>0.22</v>
      </c>
      <c r="L486" s="3">
        <f>SUMIFS($V$2:$V$10,$R$2:$R$10,F486)</f>
        <v>0.03</v>
      </c>
      <c r="M486" s="3">
        <f>SUMIFS($U$2:$U$10,$R$2:$R$10,D486)</f>
        <v>0.11</v>
      </c>
    </row>
    <row r="487" spans="1:13" x14ac:dyDescent="0.25">
      <c r="A487" s="3">
        <f>(A$2+A$2*M487+A$2*L487)*(1+K487)</f>
        <v>671.37279999999998</v>
      </c>
      <c r="B487" s="3">
        <f>(B$2+B$2*M487+B$2*L487)*(1+K487)</f>
        <v>780.89760000000001</v>
      </c>
      <c r="C487" s="3">
        <f>(C$2+C$2*M487+C$2*L487)*(1+K487)</f>
        <v>820.72480000000007</v>
      </c>
      <c r="D487" s="3">
        <v>7</v>
      </c>
      <c r="E487" s="3">
        <v>5</v>
      </c>
      <c r="F487" s="3">
        <v>1</v>
      </c>
      <c r="G487" s="3">
        <f>SUMIFS($S$2:$S$10,$R$2:$R$10,D487)</f>
        <v>20</v>
      </c>
      <c r="H487" s="3">
        <f>SUMIFS($S$2:$S$10,$R$2:$R$10,E487)</f>
        <v>10</v>
      </c>
      <c r="I487" s="3">
        <f>SUMIFS($S$2:$S$10,$R$2:$R$10,F487)</f>
        <v>1</v>
      </c>
      <c r="J487" s="3">
        <f>SUM(G487:I487)</f>
        <v>31</v>
      </c>
      <c r="K487" s="3">
        <f>SUMIFS($T$2:$T$10,$R$2:$R$10,E487)</f>
        <v>0.27</v>
      </c>
      <c r="L487" s="3">
        <f>SUMIFS($V$2:$V$10,$R$2:$R$10,F487)</f>
        <v>0.01</v>
      </c>
      <c r="M487" s="3">
        <f>SUMIFS($U$2:$U$10,$R$2:$R$10,D487)</f>
        <v>0.11</v>
      </c>
    </row>
    <row r="488" spans="1:13" x14ac:dyDescent="0.25">
      <c r="A488" s="3">
        <f>(A$2+A$2*M488+A$2*L488)*(1+K488)</f>
        <v>547.52</v>
      </c>
      <c r="B488" s="3">
        <f>(B$2+B$2*M488+B$2*L488)*(1+K488)</f>
        <v>636.84</v>
      </c>
      <c r="C488" s="3">
        <f>(C$2+C$2*M488+C$2*L488)*(1+K488)</f>
        <v>669.31999999999994</v>
      </c>
      <c r="D488" s="3">
        <v>8</v>
      </c>
      <c r="E488" s="3">
        <v>0</v>
      </c>
      <c r="F488" s="3">
        <v>3</v>
      </c>
      <c r="G488" s="3">
        <f>SUMIFS($S$2:$S$10,$R$2:$R$10,D488)</f>
        <v>27</v>
      </c>
      <c r="H488" s="3">
        <f>SUMIFS($S$2:$S$10,$R$2:$R$10,E488)</f>
        <v>0</v>
      </c>
      <c r="I488" s="3">
        <f>SUMIFS($S$2:$S$10,$R$2:$R$10,F488)</f>
        <v>4</v>
      </c>
      <c r="J488" s="3">
        <f>SUM(G488:I488)</f>
        <v>31</v>
      </c>
      <c r="K488" s="3">
        <f>SUMIFS($T$2:$T$10,$R$2:$R$10,E488)</f>
        <v>0</v>
      </c>
      <c r="L488" s="3">
        <f>SUMIFS($V$2:$V$10,$R$2:$R$10,F488)</f>
        <v>0.03</v>
      </c>
      <c r="M488" s="3">
        <f>SUMIFS($U$2:$U$10,$R$2:$R$10,D488)</f>
        <v>0.13</v>
      </c>
    </row>
    <row r="489" spans="1:13" x14ac:dyDescent="0.25">
      <c r="A489" s="3">
        <f>(A$2+A$2*M489+A$2*L489)*(1+K489)</f>
        <v>629.64800000000002</v>
      </c>
      <c r="B489" s="3">
        <f>(B$2+B$2*M489+B$2*L489)*(1+K489)</f>
        <v>732.36599999999999</v>
      </c>
      <c r="C489" s="3">
        <f>(C$2+C$2*M489+C$2*L489)*(1+K489)</f>
        <v>769.71799999999985</v>
      </c>
      <c r="D489" s="3">
        <v>8</v>
      </c>
      <c r="E489" s="3">
        <v>2</v>
      </c>
      <c r="F489" s="3">
        <v>2</v>
      </c>
      <c r="G489" s="3">
        <f>SUMIFS($S$2:$S$10,$R$2:$R$10,D489)</f>
        <v>27</v>
      </c>
      <c r="H489" s="3">
        <f>SUMIFS($S$2:$S$10,$R$2:$R$10,E489)</f>
        <v>2</v>
      </c>
      <c r="I489" s="3">
        <f>SUMIFS($S$2:$S$10,$R$2:$R$10,F489)</f>
        <v>2</v>
      </c>
      <c r="J489" s="3">
        <f>SUM(G489:I489)</f>
        <v>31</v>
      </c>
      <c r="K489" s="3">
        <f>SUMIFS($T$2:$T$10,$R$2:$R$10,E489)</f>
        <v>0.16</v>
      </c>
      <c r="L489" s="3">
        <f>SUMIFS($V$2:$V$10,$R$2:$R$10,F489)</f>
        <v>0.02</v>
      </c>
      <c r="M489" s="3">
        <f>SUMIFS($U$2:$U$10,$R$2:$R$10,D489)</f>
        <v>0.13</v>
      </c>
    </row>
    <row r="490" spans="1:13" x14ac:dyDescent="0.25">
      <c r="A490" s="3">
        <f>(A$2+A$2*M490+A$2*L490)*(1+K490)</f>
        <v>634.69839999999999</v>
      </c>
      <c r="B490" s="3">
        <f>(B$2+B$2*M490+B$2*L490)*(1+K490)</f>
        <v>738.24029999999993</v>
      </c>
      <c r="C490" s="3">
        <f>(C$2+C$2*M490+C$2*L490)*(1+K490)</f>
        <v>775.89189999999996</v>
      </c>
      <c r="D490" s="3">
        <v>8</v>
      </c>
      <c r="E490" s="3">
        <v>3</v>
      </c>
      <c r="F490" s="3">
        <v>0</v>
      </c>
      <c r="G490" s="3">
        <f>SUMIFS($S$2:$S$10,$R$2:$R$10,D490)</f>
        <v>27</v>
      </c>
      <c r="H490" s="3">
        <f>SUMIFS($S$2:$S$10,$R$2:$R$10,E490)</f>
        <v>4</v>
      </c>
      <c r="I490" s="3">
        <f>SUMIFS($S$2:$S$10,$R$2:$R$10,F490)</f>
        <v>0</v>
      </c>
      <c r="J490" s="3">
        <f>SUM(G490:I490)</f>
        <v>31</v>
      </c>
      <c r="K490" s="3">
        <f>SUMIFS($T$2:$T$10,$R$2:$R$10,E490)</f>
        <v>0.19</v>
      </c>
      <c r="L490" s="3">
        <f>SUMIFS($V$2:$V$10,$R$2:$R$10,F490)</f>
        <v>0</v>
      </c>
      <c r="M490" s="3">
        <f>SUMIFS($U$2:$U$10,$R$2:$R$10,D490)</f>
        <v>0.13</v>
      </c>
    </row>
    <row r="491" spans="1:13" x14ac:dyDescent="0.25">
      <c r="A491" s="2">
        <f>(A$2+A$2*K491+A$2*M491)*(1+L491)</f>
        <v>666.65280000000007</v>
      </c>
      <c r="B491" s="2">
        <f>(B$2+B$2*K491+B$2*M491)*(1+L491)</f>
        <v>775.40760000000012</v>
      </c>
      <c r="C491" s="2">
        <f>(C$2+C$2*K491+C$2*M491)*(1+L491)</f>
        <v>814.95479999999998</v>
      </c>
      <c r="D491" s="2">
        <v>6</v>
      </c>
      <c r="E491" s="2">
        <v>1</v>
      </c>
      <c r="F491" s="2">
        <v>6</v>
      </c>
      <c r="G491" s="2">
        <f>SUMIFS($S$2:$S$10,$R$2:$R$10,D491)</f>
        <v>15</v>
      </c>
      <c r="H491" s="2">
        <f>SUMIFS($S$2:$S$10,$R$2:$R$10,E491)</f>
        <v>1</v>
      </c>
      <c r="I491" s="2">
        <f>SUMIFS($S$2:$S$10,$R$2:$R$10,F491)</f>
        <v>15</v>
      </c>
      <c r="J491" s="2">
        <f>SUM(G491:I491)</f>
        <v>31</v>
      </c>
      <c r="K491" s="2">
        <f>SUMIFS($U$2:$U$10,$R$2:$R$10,E491)</f>
        <v>0.01</v>
      </c>
      <c r="L491" s="2">
        <f>SUMIFS($T$2:$T$10,$R$2:$R$10,F491)</f>
        <v>0.32</v>
      </c>
      <c r="M491" s="2">
        <f>SUMIFS($V$2:$V$10,$R$2:$R$10,D491)</f>
        <v>0.06</v>
      </c>
    </row>
    <row r="492" spans="1:13" x14ac:dyDescent="0.25">
      <c r="A492" s="2">
        <f>(A$2+A$2*K492+A$2*M492)*(1+L492)</f>
        <v>613.36400000000003</v>
      </c>
      <c r="B492" s="2">
        <f>(B$2+B$2*K492+B$2*M492)*(1+L492)</f>
        <v>713.42549999999983</v>
      </c>
      <c r="C492" s="2">
        <f>(C$2+C$2*K492+C$2*M492)*(1+L492)</f>
        <v>749.81149999999991</v>
      </c>
      <c r="D492" s="2">
        <v>6</v>
      </c>
      <c r="E492" s="2">
        <v>6</v>
      </c>
      <c r="F492" s="2">
        <v>1</v>
      </c>
      <c r="G492" s="2">
        <f>SUMIFS($S$2:$S$10,$R$2:$R$10,D492)</f>
        <v>15</v>
      </c>
      <c r="H492" s="2">
        <f>SUMIFS($S$2:$S$10,$R$2:$R$10,E492)</f>
        <v>15</v>
      </c>
      <c r="I492" s="2">
        <f>SUMIFS($S$2:$S$10,$R$2:$R$10,F492)</f>
        <v>1</v>
      </c>
      <c r="J492" s="2">
        <f>SUM(G492:I492)</f>
        <v>31</v>
      </c>
      <c r="K492" s="2">
        <f>SUMIFS($U$2:$U$10,$R$2:$R$10,E492)</f>
        <v>0.09</v>
      </c>
      <c r="L492" s="2">
        <f>SUMIFS($T$2:$T$10,$R$2:$R$10,F492)</f>
        <v>0.13</v>
      </c>
      <c r="M492" s="2">
        <f>SUMIFS($V$2:$V$10,$R$2:$R$10,D492)</f>
        <v>0.06</v>
      </c>
    </row>
    <row r="493" spans="1:13" x14ac:dyDescent="0.25">
      <c r="A493" s="2">
        <f>(A$2+A$2*K493+A$2*M493)*(1+L493)</f>
        <v>647.39520000000005</v>
      </c>
      <c r="B493" s="2">
        <f>(B$2+B$2*K493+B$2*M493)*(1+L493)</f>
        <v>753.00840000000005</v>
      </c>
      <c r="C493" s="2">
        <f>(C$2+C$2*K493+C$2*M493)*(1+L493)</f>
        <v>791.41319999999996</v>
      </c>
      <c r="D493" s="2">
        <v>7</v>
      </c>
      <c r="E493" s="2">
        <v>1</v>
      </c>
      <c r="F493" s="2">
        <v>5</v>
      </c>
      <c r="G493" s="2">
        <f>SUMIFS($S$2:$S$10,$R$2:$R$10,D493)</f>
        <v>20</v>
      </c>
      <c r="H493" s="2">
        <f>SUMIFS($S$2:$S$10,$R$2:$R$10,E493)</f>
        <v>1</v>
      </c>
      <c r="I493" s="2">
        <f>SUMIFS($S$2:$S$10,$R$2:$R$10,F493)</f>
        <v>10</v>
      </c>
      <c r="J493" s="2">
        <f>SUM(G493:I493)</f>
        <v>31</v>
      </c>
      <c r="K493" s="2">
        <f>SUMIFS($U$2:$U$10,$R$2:$R$10,E493)</f>
        <v>0.01</v>
      </c>
      <c r="L493" s="2">
        <f>SUMIFS($T$2:$T$10,$R$2:$R$10,F493)</f>
        <v>0.27</v>
      </c>
      <c r="M493" s="2">
        <f>SUMIFS($V$2:$V$10,$R$2:$R$10,D493)</f>
        <v>7.0000000000000007E-2</v>
      </c>
    </row>
    <row r="494" spans="1:13" x14ac:dyDescent="0.25">
      <c r="A494" s="2">
        <f>(A$2+A$2*K494+A$2*M494)*(1+L494)</f>
        <v>633.42400000000009</v>
      </c>
      <c r="B494" s="2">
        <f>(B$2+B$2*K494+B$2*M494)*(1+L494)</f>
        <v>736.75800000000004</v>
      </c>
      <c r="C494" s="2">
        <f>(C$2+C$2*K494+C$2*M494)*(1+L494)</f>
        <v>774.33399999999995</v>
      </c>
      <c r="D494" s="2">
        <v>7</v>
      </c>
      <c r="E494" s="2">
        <v>3</v>
      </c>
      <c r="F494" s="2">
        <v>4</v>
      </c>
      <c r="G494" s="2">
        <f>SUMIFS($S$2:$S$10,$R$2:$R$10,D494)</f>
        <v>20</v>
      </c>
      <c r="H494" s="2">
        <f>SUMIFS($S$2:$S$10,$R$2:$R$10,E494)</f>
        <v>4</v>
      </c>
      <c r="I494" s="2">
        <f>SUMIFS($S$2:$S$10,$R$2:$R$10,F494)</f>
        <v>7</v>
      </c>
      <c r="J494" s="2">
        <f>SUM(G494:I494)</f>
        <v>31</v>
      </c>
      <c r="K494" s="2">
        <f>SUMIFS($U$2:$U$10,$R$2:$R$10,E494)</f>
        <v>0.03</v>
      </c>
      <c r="L494" s="2">
        <f>SUMIFS($T$2:$T$10,$R$2:$R$10,F494)</f>
        <v>0.22</v>
      </c>
      <c r="M494" s="2">
        <f>SUMIFS($V$2:$V$10,$R$2:$R$10,D494)</f>
        <v>7.0000000000000007E-2</v>
      </c>
    </row>
    <row r="495" spans="1:13" x14ac:dyDescent="0.25">
      <c r="A495" s="2">
        <f>(A$2+A$2*K495+A$2*M495)*(1+L495)</f>
        <v>629.08159999999998</v>
      </c>
      <c r="B495" s="2">
        <f>(B$2+B$2*K495+B$2*M495)*(1+L495)</f>
        <v>731.70720000000006</v>
      </c>
      <c r="C495" s="2">
        <f>(C$2+C$2*K495+C$2*M495)*(1+L495)</f>
        <v>769.02559999999994</v>
      </c>
      <c r="D495" s="2">
        <v>7</v>
      </c>
      <c r="E495" s="2">
        <v>4</v>
      </c>
      <c r="F495" s="2">
        <v>3</v>
      </c>
      <c r="G495" s="2">
        <f>SUMIFS($S$2:$S$10,$R$2:$R$10,D495)</f>
        <v>20</v>
      </c>
      <c r="H495" s="2">
        <f>SUMIFS($S$2:$S$10,$R$2:$R$10,E495)</f>
        <v>7</v>
      </c>
      <c r="I495" s="2">
        <f>SUMIFS($S$2:$S$10,$R$2:$R$10,F495)</f>
        <v>4</v>
      </c>
      <c r="J495" s="2">
        <f>SUM(G495:I495)</f>
        <v>31</v>
      </c>
      <c r="K495" s="2">
        <f>SUMIFS($U$2:$U$10,$R$2:$R$10,E495)</f>
        <v>0.05</v>
      </c>
      <c r="L495" s="2">
        <f>SUMIFS($T$2:$T$10,$R$2:$R$10,F495)</f>
        <v>0.19</v>
      </c>
      <c r="M495" s="2">
        <f>SUMIFS($V$2:$V$10,$R$2:$R$10,D495)</f>
        <v>7.0000000000000007E-2</v>
      </c>
    </row>
    <row r="496" spans="1:13" x14ac:dyDescent="0.25">
      <c r="A496" s="2">
        <f>(A$2+A$2*K496+A$2*M496)*(1+L496)</f>
        <v>608.03039999999999</v>
      </c>
      <c r="B496" s="2">
        <f>(B$2+B$2*K496+B$2*M496)*(1+L496)</f>
        <v>707.22180000000003</v>
      </c>
      <c r="C496" s="2">
        <f>(C$2+C$2*K496+C$2*M496)*(1+L496)</f>
        <v>743.29139999999995</v>
      </c>
      <c r="D496" s="2">
        <v>7</v>
      </c>
      <c r="E496" s="2">
        <v>5</v>
      </c>
      <c r="F496" s="2">
        <v>1</v>
      </c>
      <c r="G496" s="2">
        <f>SUMIFS($S$2:$S$10,$R$2:$R$10,D496)</f>
        <v>20</v>
      </c>
      <c r="H496" s="2">
        <f>SUMIFS($S$2:$S$10,$R$2:$R$10,E496)</f>
        <v>10</v>
      </c>
      <c r="I496" s="2">
        <f>SUMIFS($S$2:$S$10,$R$2:$R$10,F496)</f>
        <v>1</v>
      </c>
      <c r="J496" s="2">
        <f>SUM(G496:I496)</f>
        <v>31</v>
      </c>
      <c r="K496" s="2">
        <f>SUMIFS($U$2:$U$10,$R$2:$R$10,E496)</f>
        <v>7.0000000000000007E-2</v>
      </c>
      <c r="L496" s="2">
        <f>SUMIFS($T$2:$T$10,$R$2:$R$10,F496)</f>
        <v>0.13</v>
      </c>
      <c r="M496" s="2">
        <f>SUMIFS($V$2:$V$10,$R$2:$R$10,D496)</f>
        <v>7.0000000000000007E-2</v>
      </c>
    </row>
    <row r="497" spans="1:13" x14ac:dyDescent="0.25">
      <c r="A497" s="2">
        <f>(A$2+A$2*K497+A$2*M497)*(1+L497)</f>
        <v>606.61439999999993</v>
      </c>
      <c r="B497" s="2">
        <f>(B$2+B$2*K497+B$2*M497)*(1+L497)</f>
        <v>705.57479999999987</v>
      </c>
      <c r="C497" s="2">
        <f>(C$2+C$2*K497+C$2*M497)*(1+L497)</f>
        <v>741.56039999999996</v>
      </c>
      <c r="D497" s="2">
        <v>8</v>
      </c>
      <c r="E497" s="2">
        <v>0</v>
      </c>
      <c r="F497" s="2">
        <v>3</v>
      </c>
      <c r="G497" s="2">
        <f>SUMIFS($S$2:$S$10,$R$2:$R$10,D497)</f>
        <v>27</v>
      </c>
      <c r="H497" s="2">
        <f>SUMIFS($S$2:$S$10,$R$2:$R$10,E497)</f>
        <v>0</v>
      </c>
      <c r="I497" s="2">
        <f>SUMIFS($S$2:$S$10,$R$2:$R$10,F497)</f>
        <v>4</v>
      </c>
      <c r="J497" s="2">
        <f>SUM(G497:I497)</f>
        <v>31</v>
      </c>
      <c r="K497" s="2">
        <f>SUMIFS($U$2:$U$10,$R$2:$R$10,E497)</f>
        <v>0</v>
      </c>
      <c r="L497" s="2">
        <f>SUMIFS($T$2:$T$10,$R$2:$R$10,F497)</f>
        <v>0.19</v>
      </c>
      <c r="M497" s="2">
        <f>SUMIFS($V$2:$V$10,$R$2:$R$10,D497)</f>
        <v>0.08</v>
      </c>
    </row>
    <row r="498" spans="1:13" x14ac:dyDescent="0.25">
      <c r="A498" s="2">
        <f>(A$2+A$2*K498+A$2*M498)*(1+L498)</f>
        <v>602.27200000000005</v>
      </c>
      <c r="B498" s="2">
        <f>(B$2+B$2*K498+B$2*M498)*(1+L498)</f>
        <v>700.52399999999989</v>
      </c>
      <c r="C498" s="2">
        <f>(C$2+C$2*K498+C$2*M498)*(1+L498)</f>
        <v>736.25199999999984</v>
      </c>
      <c r="D498" s="2">
        <v>8</v>
      </c>
      <c r="E498" s="2">
        <v>2</v>
      </c>
      <c r="F498" s="2">
        <v>2</v>
      </c>
      <c r="G498" s="2">
        <f>SUMIFS($S$2:$S$10,$R$2:$R$10,D498)</f>
        <v>27</v>
      </c>
      <c r="H498" s="2">
        <f>SUMIFS($S$2:$S$10,$R$2:$R$10,E498)</f>
        <v>2</v>
      </c>
      <c r="I498" s="2">
        <f>SUMIFS($S$2:$S$10,$R$2:$R$10,F498)</f>
        <v>2</v>
      </c>
      <c r="J498" s="2">
        <f>SUM(G498:I498)</f>
        <v>31</v>
      </c>
      <c r="K498" s="2">
        <f>SUMIFS($U$2:$U$10,$R$2:$R$10,E498)</f>
        <v>0.02</v>
      </c>
      <c r="L498" s="2">
        <f>SUMIFS($T$2:$T$10,$R$2:$R$10,F498)</f>
        <v>0.16</v>
      </c>
      <c r="M498" s="2">
        <f>SUMIFS($V$2:$V$10,$R$2:$R$10,D498)</f>
        <v>0.08</v>
      </c>
    </row>
    <row r="499" spans="1:13" x14ac:dyDescent="0.25">
      <c r="A499" s="2">
        <f>(A$2+A$2*K499+A$2*M499)*(1+L499)</f>
        <v>523.92000000000007</v>
      </c>
      <c r="B499" s="2">
        <f>(B$2+B$2*K499+B$2*M499)*(1+L499)</f>
        <v>609.39</v>
      </c>
      <c r="C499" s="2">
        <f>(C$2+C$2*K499+C$2*M499)*(1+L499)</f>
        <v>640.46999999999991</v>
      </c>
      <c r="D499" s="2">
        <v>8</v>
      </c>
      <c r="E499" s="2">
        <v>3</v>
      </c>
      <c r="F499" s="2">
        <v>0</v>
      </c>
      <c r="G499" s="2">
        <f>SUMIFS($S$2:$S$10,$R$2:$R$10,D499)</f>
        <v>27</v>
      </c>
      <c r="H499" s="2">
        <f>SUMIFS($S$2:$S$10,$R$2:$R$10,E499)</f>
        <v>4</v>
      </c>
      <c r="I499" s="2">
        <f>SUMIFS($S$2:$S$10,$R$2:$R$10,F499)</f>
        <v>0</v>
      </c>
      <c r="J499" s="2">
        <f>SUM(G499:I499)</f>
        <v>31</v>
      </c>
      <c r="K499" s="2">
        <f>SUMIFS($U$2:$U$10,$R$2:$R$10,E499)</f>
        <v>0.03</v>
      </c>
      <c r="L499" s="2">
        <f>SUMIFS($T$2:$T$10,$R$2:$R$10,F499)</f>
        <v>0</v>
      </c>
      <c r="M499" s="2">
        <f>SUMIFS($V$2:$V$10,$R$2:$R$10,D499)</f>
        <v>0.08</v>
      </c>
    </row>
    <row r="500" spans="1:13" x14ac:dyDescent="0.25">
      <c r="A500" s="1">
        <f>(A$2+A$2*K500+A$2*L500)*(1+M500)</f>
        <v>672.88319999999999</v>
      </c>
      <c r="B500" s="1">
        <f>(B$2+B$2*K500+B$2*L500)*(1+M500)</f>
        <v>782.65440000000012</v>
      </c>
      <c r="C500" s="1">
        <f>(C$2+C$2*K500+C$2*L500)*(1+M500)</f>
        <v>822.57119999999998</v>
      </c>
      <c r="D500" s="1">
        <v>6</v>
      </c>
      <c r="E500" s="1">
        <v>2</v>
      </c>
      <c r="F500" s="1">
        <v>6</v>
      </c>
      <c r="G500" s="1">
        <f>SUMIFS($S$2:$S$10,$R$2:$R$10,D500)</f>
        <v>15</v>
      </c>
      <c r="H500" s="1">
        <f>SUMIFS($S$2:$S$10,$R$2:$R$10,E500)</f>
        <v>2</v>
      </c>
      <c r="I500" s="1">
        <f>SUMIFS($S$2:$S$10,$R$2:$R$10,F500)</f>
        <v>15</v>
      </c>
      <c r="J500" s="1">
        <f>SUM(G500:I500)</f>
        <v>32</v>
      </c>
      <c r="K500" s="1">
        <f>SUMIFS($U$2:$U$10,$R$2:$R$10,E500)</f>
        <v>0.02</v>
      </c>
      <c r="L500" s="1">
        <f>SUMIFS($V$2:$V$10,$R$2:$R$10,F500)</f>
        <v>0.06</v>
      </c>
      <c r="M500" s="1">
        <f>SUMIFS($T$2:$T$10,$R$2:$R$10,D500)</f>
        <v>0.32</v>
      </c>
    </row>
    <row r="501" spans="1:13" x14ac:dyDescent="0.25">
      <c r="A501" s="1">
        <f>(A$2+A$2*K501+A$2*L501)*(1+M501)</f>
        <v>685.34400000000005</v>
      </c>
      <c r="B501" s="1">
        <f>(B$2+B$2*K501+B$2*L501)*(1+M501)</f>
        <v>797.14800000000014</v>
      </c>
      <c r="C501" s="1">
        <f>(C$2+C$2*K501+C$2*L501)*(1+M501)</f>
        <v>837.80400000000009</v>
      </c>
      <c r="D501" s="1">
        <v>6</v>
      </c>
      <c r="E501" s="1">
        <v>4</v>
      </c>
      <c r="F501" s="1">
        <v>5</v>
      </c>
      <c r="G501" s="1">
        <f>SUMIFS($S$2:$S$10,$R$2:$R$10,D501)</f>
        <v>15</v>
      </c>
      <c r="H501" s="1">
        <f>SUMIFS($S$2:$S$10,$R$2:$R$10,E501)</f>
        <v>7</v>
      </c>
      <c r="I501" s="1">
        <f>SUMIFS($S$2:$S$10,$R$2:$R$10,F501)</f>
        <v>10</v>
      </c>
      <c r="J501" s="1">
        <f>SUM(G501:I501)</f>
        <v>32</v>
      </c>
      <c r="K501" s="1">
        <f>SUMIFS($U$2:$U$10,$R$2:$R$10,E501)</f>
        <v>0.05</v>
      </c>
      <c r="L501" s="1">
        <f>SUMIFS($V$2:$V$10,$R$2:$R$10,F501)</f>
        <v>0.05</v>
      </c>
      <c r="M501" s="1">
        <f>SUMIFS($T$2:$T$10,$R$2:$R$10,D501)</f>
        <v>0.32</v>
      </c>
    </row>
    <row r="502" spans="1:13" x14ac:dyDescent="0.25">
      <c r="A502" s="1">
        <f>(A$2+A$2*K502+A$2*L502)*(1+M502)</f>
        <v>691.57440000000008</v>
      </c>
      <c r="B502" s="1">
        <f>(B$2+B$2*K502+B$2*L502)*(1+M502)</f>
        <v>804.39480000000015</v>
      </c>
      <c r="C502" s="1">
        <f>(C$2+C$2*K502+C$2*L502)*(1+M502)</f>
        <v>845.42040000000009</v>
      </c>
      <c r="D502" s="1">
        <v>6</v>
      </c>
      <c r="E502" s="1">
        <v>5</v>
      </c>
      <c r="F502" s="1">
        <v>4</v>
      </c>
      <c r="G502" s="1">
        <f>SUMIFS($S$2:$S$10,$R$2:$R$10,D502)</f>
        <v>15</v>
      </c>
      <c r="H502" s="1">
        <f>SUMIFS($S$2:$S$10,$R$2:$R$10,E502)</f>
        <v>10</v>
      </c>
      <c r="I502" s="1">
        <f>SUMIFS($S$2:$S$10,$R$2:$R$10,F502)</f>
        <v>7</v>
      </c>
      <c r="J502" s="1">
        <f>SUM(G502:I502)</f>
        <v>32</v>
      </c>
      <c r="K502" s="1">
        <f>SUMIFS($U$2:$U$10,$R$2:$R$10,E502)</f>
        <v>7.0000000000000007E-2</v>
      </c>
      <c r="L502" s="1">
        <f>SUMIFS($V$2:$V$10,$R$2:$R$10,F502)</f>
        <v>0.04</v>
      </c>
      <c r="M502" s="1">
        <f>SUMIFS($T$2:$T$10,$R$2:$R$10,D502)</f>
        <v>0.32</v>
      </c>
    </row>
    <row r="503" spans="1:13" x14ac:dyDescent="0.25">
      <c r="A503" s="1">
        <f>(A$2+A$2*K503+A$2*L503)*(1+M503)</f>
        <v>691.57440000000008</v>
      </c>
      <c r="B503" s="1">
        <f>(B$2+B$2*K503+B$2*L503)*(1+M503)</f>
        <v>804.39480000000003</v>
      </c>
      <c r="C503" s="1">
        <f>(C$2+C$2*K503+C$2*L503)*(1+M503)</f>
        <v>845.42039999999997</v>
      </c>
      <c r="D503" s="1">
        <v>6</v>
      </c>
      <c r="E503" s="1">
        <v>6</v>
      </c>
      <c r="F503" s="1">
        <v>2</v>
      </c>
      <c r="G503" s="1">
        <f>SUMIFS($S$2:$S$10,$R$2:$R$10,D503)</f>
        <v>15</v>
      </c>
      <c r="H503" s="1">
        <f>SUMIFS($S$2:$S$10,$R$2:$R$10,E503)</f>
        <v>15</v>
      </c>
      <c r="I503" s="1">
        <f>SUMIFS($S$2:$S$10,$R$2:$R$10,F503)</f>
        <v>2</v>
      </c>
      <c r="J503" s="1">
        <f>SUM(G503:I503)</f>
        <v>32</v>
      </c>
      <c r="K503" s="1">
        <f>SUMIFS($U$2:$U$10,$R$2:$R$10,E503)</f>
        <v>0.09</v>
      </c>
      <c r="L503" s="1">
        <f>SUMIFS($V$2:$V$10,$R$2:$R$10,F503)</f>
        <v>0.02</v>
      </c>
      <c r="M503" s="1">
        <f>SUMIFS($T$2:$T$10,$R$2:$R$10,D503)</f>
        <v>0.32</v>
      </c>
    </row>
    <row r="504" spans="1:13" x14ac:dyDescent="0.25">
      <c r="A504" s="1">
        <f>(A$2+A$2*K504+A$2*L504)*(1+M504)</f>
        <v>691.90480000000014</v>
      </c>
      <c r="B504" s="1">
        <f>(B$2+B$2*K504+B$2*L504)*(1+M504)</f>
        <v>804.7791000000002</v>
      </c>
      <c r="C504" s="1">
        <f>(C$2+C$2*K504+C$2*L504)*(1+M504)</f>
        <v>845.82429999999999</v>
      </c>
      <c r="D504" s="1">
        <v>7</v>
      </c>
      <c r="E504" s="1">
        <v>2</v>
      </c>
      <c r="F504" s="1">
        <v>5</v>
      </c>
      <c r="G504" s="1">
        <f>SUMIFS($S$2:$S$10,$R$2:$R$10,D504)</f>
        <v>20</v>
      </c>
      <c r="H504" s="1">
        <f>SUMIFS($S$2:$S$10,$R$2:$R$10,E504)</f>
        <v>2</v>
      </c>
      <c r="I504" s="1">
        <f>SUMIFS($S$2:$S$10,$R$2:$R$10,F504)</f>
        <v>10</v>
      </c>
      <c r="J504" s="1">
        <f>SUM(G504:I504)</f>
        <v>32</v>
      </c>
      <c r="K504" s="1">
        <f>SUMIFS($U$2:$U$10,$R$2:$R$10,E504)</f>
        <v>0.02</v>
      </c>
      <c r="L504" s="1">
        <f>SUMIFS($V$2:$V$10,$R$2:$R$10,F504)</f>
        <v>0.05</v>
      </c>
      <c r="M504" s="1">
        <f>SUMIFS($T$2:$T$10,$R$2:$R$10,D504)</f>
        <v>0.37</v>
      </c>
    </row>
    <row r="505" spans="1:13" x14ac:dyDescent="0.25">
      <c r="A505" s="1">
        <f>(A$2+A$2*K505+A$2*L505)*(1+M505)</f>
        <v>704.83760000000007</v>
      </c>
      <c r="B505" s="1">
        <f>(B$2+B$2*K505+B$2*L505)*(1+M505)</f>
        <v>819.82170000000019</v>
      </c>
      <c r="C505" s="1">
        <f>(C$2+C$2*K505+C$2*L505)*(1+M505)</f>
        <v>861.63409999999999</v>
      </c>
      <c r="D505" s="1">
        <v>7</v>
      </c>
      <c r="E505" s="1">
        <v>5</v>
      </c>
      <c r="F505" s="1">
        <v>2</v>
      </c>
      <c r="G505" s="1">
        <f>SUMIFS($S$2:$S$10,$R$2:$R$10,D505)</f>
        <v>20</v>
      </c>
      <c r="H505" s="1">
        <f>SUMIFS($S$2:$S$10,$R$2:$R$10,E505)</f>
        <v>10</v>
      </c>
      <c r="I505" s="1">
        <f>SUMIFS($S$2:$S$10,$R$2:$R$10,F505)</f>
        <v>2</v>
      </c>
      <c r="J505" s="1">
        <f>SUM(G505:I505)</f>
        <v>32</v>
      </c>
      <c r="K505" s="1">
        <f>SUMIFS($U$2:$U$10,$R$2:$R$10,E505)</f>
        <v>7.0000000000000007E-2</v>
      </c>
      <c r="L505" s="1">
        <f>SUMIFS($V$2:$V$10,$R$2:$R$10,F505)</f>
        <v>0.02</v>
      </c>
      <c r="M505" s="1">
        <f>SUMIFS($T$2:$T$10,$R$2:$R$10,D505)</f>
        <v>0.37</v>
      </c>
    </row>
    <row r="506" spans="1:13" x14ac:dyDescent="0.25">
      <c r="A506" s="1">
        <f>(A$2+A$2*K506+A$2*L506)*(1+M506)</f>
        <v>701.9584000000001</v>
      </c>
      <c r="B506" s="1">
        <f>(B$2+B$2*K506+B$2*L506)*(1+M506)</f>
        <v>816.47280000000001</v>
      </c>
      <c r="C506" s="1">
        <f>(C$2+C$2*K506+C$2*L506)*(1+M506)</f>
        <v>858.11439999999982</v>
      </c>
      <c r="D506" s="1">
        <v>8</v>
      </c>
      <c r="E506" s="1">
        <v>1</v>
      </c>
      <c r="F506" s="1">
        <v>3</v>
      </c>
      <c r="G506" s="1">
        <f>SUMIFS($S$2:$S$10,$R$2:$R$10,D506)</f>
        <v>27</v>
      </c>
      <c r="H506" s="1">
        <f>SUMIFS($S$2:$S$10,$R$2:$R$10,E506)</f>
        <v>1</v>
      </c>
      <c r="I506" s="1">
        <f>SUMIFS($S$2:$S$10,$R$2:$R$10,F506)</f>
        <v>4</v>
      </c>
      <c r="J506" s="1">
        <f>SUM(G506:I506)</f>
        <v>32</v>
      </c>
      <c r="K506" s="1">
        <f>SUMIFS($U$2:$U$10,$R$2:$R$10,E506)</f>
        <v>0.01</v>
      </c>
      <c r="L506" s="1">
        <f>SUMIFS($V$2:$V$10,$R$2:$R$10,F506)</f>
        <v>0.03</v>
      </c>
      <c r="M506" s="1">
        <f>SUMIFS($T$2:$T$10,$R$2:$R$10,D506)</f>
        <v>0.43</v>
      </c>
    </row>
    <row r="507" spans="1:13" x14ac:dyDescent="0.25">
      <c r="A507" s="1">
        <f>(A$2+A$2*K507+A$2*L507)*(1+M507)</f>
        <v>701.9584000000001</v>
      </c>
      <c r="B507" s="1">
        <f>(B$2+B$2*K507+B$2*L507)*(1+M507)</f>
        <v>816.47280000000001</v>
      </c>
      <c r="C507" s="1">
        <f>(C$2+C$2*K507+C$2*L507)*(1+M507)</f>
        <v>858.11439999999982</v>
      </c>
      <c r="D507" s="1">
        <v>8</v>
      </c>
      <c r="E507" s="1">
        <v>3</v>
      </c>
      <c r="F507" s="1">
        <v>1</v>
      </c>
      <c r="G507" s="1">
        <f>SUMIFS($S$2:$S$10,$R$2:$R$10,D507)</f>
        <v>27</v>
      </c>
      <c r="H507" s="1">
        <f>SUMIFS($S$2:$S$10,$R$2:$R$10,E507)</f>
        <v>4</v>
      </c>
      <c r="I507" s="1">
        <f>SUMIFS($S$2:$S$10,$R$2:$R$10,F507)</f>
        <v>1</v>
      </c>
      <c r="J507" s="1">
        <f>SUM(G507:I507)</f>
        <v>32</v>
      </c>
      <c r="K507" s="1">
        <f>SUMIFS($U$2:$U$10,$R$2:$R$10,E507)</f>
        <v>0.03</v>
      </c>
      <c r="L507" s="1">
        <f>SUMIFS($V$2:$V$10,$R$2:$R$10,F507)</f>
        <v>0.01</v>
      </c>
      <c r="M507" s="1">
        <f>SUMIFS($T$2:$T$10,$R$2:$R$10,D507)</f>
        <v>0.43</v>
      </c>
    </row>
    <row r="508" spans="1:13" x14ac:dyDescent="0.25">
      <c r="A508" s="3">
        <f>(A$2+A$2*M508+A$2*L508)*(1+K508)</f>
        <v>629.64800000000002</v>
      </c>
      <c r="B508" s="3">
        <f>(B$2+B$2*M508+B$2*L508)*(1+K508)</f>
        <v>732.36599999999987</v>
      </c>
      <c r="C508" s="3">
        <f>(C$2+C$2*M508+C$2*L508)*(1+K508)</f>
        <v>769.71799999999985</v>
      </c>
      <c r="D508" s="3">
        <v>6</v>
      </c>
      <c r="E508" s="3">
        <v>2</v>
      </c>
      <c r="F508" s="3">
        <v>6</v>
      </c>
      <c r="G508" s="3">
        <f>SUMIFS($S$2:$S$10,$R$2:$R$10,D508)</f>
        <v>15</v>
      </c>
      <c r="H508" s="3">
        <f>SUMIFS($S$2:$S$10,$R$2:$R$10,E508)</f>
        <v>2</v>
      </c>
      <c r="I508" s="3">
        <f>SUMIFS($S$2:$S$10,$R$2:$R$10,F508)</f>
        <v>15</v>
      </c>
      <c r="J508" s="3">
        <f>SUM(G508:I508)</f>
        <v>32</v>
      </c>
      <c r="K508" s="3">
        <f>SUMIFS($T$2:$T$10,$R$2:$R$10,E508)</f>
        <v>0.16</v>
      </c>
      <c r="L508" s="3">
        <f>SUMIFS($V$2:$V$10,$R$2:$R$10,F508)</f>
        <v>0.06</v>
      </c>
      <c r="M508" s="3">
        <f>SUMIFS($U$2:$U$10,$R$2:$R$10,D508)</f>
        <v>0.09</v>
      </c>
    </row>
    <row r="509" spans="1:13" x14ac:dyDescent="0.25">
      <c r="A509" s="3">
        <f>(A$2+A$2*M509+A$2*L509)*(1+K509)</f>
        <v>656.45760000000007</v>
      </c>
      <c r="B509" s="3">
        <f>(B$2+B$2*M509+B$2*L509)*(1+K509)</f>
        <v>763.54920000000004</v>
      </c>
      <c r="C509" s="3">
        <f>(C$2+C$2*M509+C$2*L509)*(1+K509)</f>
        <v>802.49159999999995</v>
      </c>
      <c r="D509" s="3">
        <v>6</v>
      </c>
      <c r="E509" s="3">
        <v>4</v>
      </c>
      <c r="F509" s="3">
        <v>5</v>
      </c>
      <c r="G509" s="3">
        <f>SUMIFS($S$2:$S$10,$R$2:$R$10,D509)</f>
        <v>15</v>
      </c>
      <c r="H509" s="3">
        <f>SUMIFS($S$2:$S$10,$R$2:$R$10,E509)</f>
        <v>7</v>
      </c>
      <c r="I509" s="3">
        <f>SUMIFS($S$2:$S$10,$R$2:$R$10,F509)</f>
        <v>10</v>
      </c>
      <c r="J509" s="3">
        <f>SUM(G509:I509)</f>
        <v>32</v>
      </c>
      <c r="K509" s="3">
        <f>SUMIFS($T$2:$T$10,$R$2:$R$10,E509)</f>
        <v>0.22</v>
      </c>
      <c r="L509" s="3">
        <f>SUMIFS($V$2:$V$10,$R$2:$R$10,F509)</f>
        <v>0.05</v>
      </c>
      <c r="M509" s="3">
        <f>SUMIFS($U$2:$U$10,$R$2:$R$10,D509)</f>
        <v>0.09</v>
      </c>
    </row>
    <row r="510" spans="1:13" x14ac:dyDescent="0.25">
      <c r="A510" s="3">
        <f>(A$2+A$2*M510+A$2*L510)*(1+K510)</f>
        <v>677.36720000000003</v>
      </c>
      <c r="B510" s="3">
        <f>(B$2+B$2*M510+B$2*L510)*(1+K510)</f>
        <v>787.86990000000003</v>
      </c>
      <c r="C510" s="3">
        <f>(C$2+C$2*M510+C$2*L510)*(1+K510)</f>
        <v>828.05269999999996</v>
      </c>
      <c r="D510" s="3">
        <v>6</v>
      </c>
      <c r="E510" s="3">
        <v>5</v>
      </c>
      <c r="F510" s="3">
        <v>4</v>
      </c>
      <c r="G510" s="3">
        <f>SUMIFS($S$2:$S$10,$R$2:$R$10,D510)</f>
        <v>15</v>
      </c>
      <c r="H510" s="3">
        <f>SUMIFS($S$2:$S$10,$R$2:$R$10,E510)</f>
        <v>10</v>
      </c>
      <c r="I510" s="3">
        <f>SUMIFS($S$2:$S$10,$R$2:$R$10,F510)</f>
        <v>7</v>
      </c>
      <c r="J510" s="3">
        <f>SUM(G510:I510)</f>
        <v>32</v>
      </c>
      <c r="K510" s="3">
        <f>SUMIFS($T$2:$T$10,$R$2:$R$10,E510)</f>
        <v>0.27</v>
      </c>
      <c r="L510" s="3">
        <f>SUMIFS($V$2:$V$10,$R$2:$R$10,F510)</f>
        <v>0.04</v>
      </c>
      <c r="M510" s="3">
        <f>SUMIFS($U$2:$U$10,$R$2:$R$10,D510)</f>
        <v>0.09</v>
      </c>
    </row>
    <row r="511" spans="1:13" x14ac:dyDescent="0.25">
      <c r="A511" s="3">
        <f>(A$2+A$2*M511+A$2*L511)*(1+K511)</f>
        <v>691.57440000000008</v>
      </c>
      <c r="B511" s="3">
        <f>(B$2+B$2*M511+B$2*L511)*(1+K511)</f>
        <v>804.39480000000003</v>
      </c>
      <c r="C511" s="3">
        <f>(C$2+C$2*M511+C$2*L511)*(1+K511)</f>
        <v>845.42039999999997</v>
      </c>
      <c r="D511" s="3">
        <v>6</v>
      </c>
      <c r="E511" s="3">
        <v>6</v>
      </c>
      <c r="F511" s="3">
        <v>2</v>
      </c>
      <c r="G511" s="3">
        <f>SUMIFS($S$2:$S$10,$R$2:$R$10,D511)</f>
        <v>15</v>
      </c>
      <c r="H511" s="3">
        <f>SUMIFS($S$2:$S$10,$R$2:$R$10,E511)</f>
        <v>15</v>
      </c>
      <c r="I511" s="3">
        <f>SUMIFS($S$2:$S$10,$R$2:$R$10,F511)</f>
        <v>2</v>
      </c>
      <c r="J511" s="3">
        <f>SUM(G511:I511)</f>
        <v>32</v>
      </c>
      <c r="K511" s="3">
        <f>SUMIFS($T$2:$T$10,$R$2:$R$10,E511)</f>
        <v>0.32</v>
      </c>
      <c r="L511" s="3">
        <f>SUMIFS($V$2:$V$10,$R$2:$R$10,F511)</f>
        <v>0.02</v>
      </c>
      <c r="M511" s="3">
        <f>SUMIFS($U$2:$U$10,$R$2:$R$10,D511)</f>
        <v>0.09</v>
      </c>
    </row>
    <row r="512" spans="1:13" x14ac:dyDescent="0.25">
      <c r="A512" s="3">
        <f>(A$2+A$2*M512+A$2*L512)*(1+K512)</f>
        <v>635.12319999999988</v>
      </c>
      <c r="B512" s="3">
        <f>(B$2+B$2*M512+B$2*L512)*(1+K512)</f>
        <v>738.73439999999994</v>
      </c>
      <c r="C512" s="3">
        <f>(C$2+C$2*M512+C$2*L512)*(1+K512)</f>
        <v>776.41120000000001</v>
      </c>
      <c r="D512" s="3">
        <v>7</v>
      </c>
      <c r="E512" s="3">
        <v>2</v>
      </c>
      <c r="F512" s="3">
        <v>5</v>
      </c>
      <c r="G512" s="3">
        <f>SUMIFS($S$2:$S$10,$R$2:$R$10,D512)</f>
        <v>20</v>
      </c>
      <c r="H512" s="3">
        <f>SUMIFS($S$2:$S$10,$R$2:$R$10,E512)</f>
        <v>2</v>
      </c>
      <c r="I512" s="3">
        <f>SUMIFS($S$2:$S$10,$R$2:$R$10,F512)</f>
        <v>10</v>
      </c>
      <c r="J512" s="3">
        <f>SUM(G512:I512)</f>
        <v>32</v>
      </c>
      <c r="K512" s="3">
        <f>SUMIFS($T$2:$T$10,$R$2:$R$10,E512)</f>
        <v>0.16</v>
      </c>
      <c r="L512" s="3">
        <f>SUMIFS($V$2:$V$10,$R$2:$R$10,F512)</f>
        <v>0.05</v>
      </c>
      <c r="M512" s="3">
        <f>SUMIFS($U$2:$U$10,$R$2:$R$10,D512)</f>
        <v>0.11</v>
      </c>
    </row>
    <row r="513" spans="1:13" x14ac:dyDescent="0.25">
      <c r="A513" s="3">
        <f>(A$2+A$2*M513+A$2*L513)*(1+K513)</f>
        <v>677.36720000000003</v>
      </c>
      <c r="B513" s="3">
        <f>(B$2+B$2*M513+B$2*L513)*(1+K513)</f>
        <v>787.86990000000003</v>
      </c>
      <c r="C513" s="3">
        <f>(C$2+C$2*M513+C$2*L513)*(1+K513)</f>
        <v>828.05269999999996</v>
      </c>
      <c r="D513" s="3">
        <v>7</v>
      </c>
      <c r="E513" s="3">
        <v>5</v>
      </c>
      <c r="F513" s="3">
        <v>2</v>
      </c>
      <c r="G513" s="3">
        <f>SUMIFS($S$2:$S$10,$R$2:$R$10,D513)</f>
        <v>20</v>
      </c>
      <c r="H513" s="3">
        <f>SUMIFS($S$2:$S$10,$R$2:$R$10,E513)</f>
        <v>10</v>
      </c>
      <c r="I513" s="3">
        <f>SUMIFS($S$2:$S$10,$R$2:$R$10,F513)</f>
        <v>2</v>
      </c>
      <c r="J513" s="3">
        <f>SUM(G513:I513)</f>
        <v>32</v>
      </c>
      <c r="K513" s="3">
        <f>SUMIFS($T$2:$T$10,$R$2:$R$10,E513)</f>
        <v>0.27</v>
      </c>
      <c r="L513" s="3">
        <f>SUMIFS($V$2:$V$10,$R$2:$R$10,F513)</f>
        <v>0.02</v>
      </c>
      <c r="M513" s="3">
        <f>SUMIFS($U$2:$U$10,$R$2:$R$10,D513)</f>
        <v>0.11</v>
      </c>
    </row>
    <row r="514" spans="1:13" x14ac:dyDescent="0.25">
      <c r="A514" s="3">
        <f>(A$2+A$2*M514+A$2*L514)*(1+K514)</f>
        <v>618.69759999999997</v>
      </c>
      <c r="B514" s="3">
        <f>(B$2+B$2*M514+B$2*L514)*(1+K514)</f>
        <v>719.62919999999997</v>
      </c>
      <c r="C514" s="3">
        <f>(C$2+C$2*M514+C$2*L514)*(1+K514)</f>
        <v>756.33159999999987</v>
      </c>
      <c r="D514" s="3">
        <v>8</v>
      </c>
      <c r="E514" s="3">
        <v>1</v>
      </c>
      <c r="F514" s="3">
        <v>3</v>
      </c>
      <c r="G514" s="3">
        <f>SUMIFS($S$2:$S$10,$R$2:$R$10,D514)</f>
        <v>27</v>
      </c>
      <c r="H514" s="3">
        <f>SUMIFS($S$2:$S$10,$R$2:$R$10,E514)</f>
        <v>1</v>
      </c>
      <c r="I514" s="3">
        <f>SUMIFS($S$2:$S$10,$R$2:$R$10,F514)</f>
        <v>4</v>
      </c>
      <c r="J514" s="3">
        <f>SUM(G514:I514)</f>
        <v>32</v>
      </c>
      <c r="K514" s="3">
        <f>SUMIFS($T$2:$T$10,$R$2:$R$10,E514)</f>
        <v>0.13</v>
      </c>
      <c r="L514" s="3">
        <f>SUMIFS($V$2:$V$10,$R$2:$R$10,F514)</f>
        <v>0.03</v>
      </c>
      <c r="M514" s="3">
        <f>SUMIFS($U$2:$U$10,$R$2:$R$10,D514)</f>
        <v>0.13</v>
      </c>
    </row>
    <row r="515" spans="1:13" x14ac:dyDescent="0.25">
      <c r="A515" s="3">
        <f>(A$2+A$2*M515+A$2*L515)*(1+K515)</f>
        <v>640.3152</v>
      </c>
      <c r="B515" s="3">
        <f>(B$2+B$2*M515+B$2*L515)*(1+K515)</f>
        <v>744.77340000000004</v>
      </c>
      <c r="C515" s="3">
        <f>(C$2+C$2*M515+C$2*L515)*(1+K515)</f>
        <v>782.75819999999999</v>
      </c>
      <c r="D515" s="3">
        <v>8</v>
      </c>
      <c r="E515" s="3">
        <v>3</v>
      </c>
      <c r="F515" s="3">
        <v>1</v>
      </c>
      <c r="G515" s="3">
        <f>SUMIFS($S$2:$S$10,$R$2:$R$10,D515)</f>
        <v>27</v>
      </c>
      <c r="H515" s="3">
        <f>SUMIFS($S$2:$S$10,$R$2:$R$10,E515)</f>
        <v>4</v>
      </c>
      <c r="I515" s="3">
        <f>SUMIFS($S$2:$S$10,$R$2:$R$10,F515)</f>
        <v>1</v>
      </c>
      <c r="J515" s="3">
        <f>SUM(G515:I515)</f>
        <v>32</v>
      </c>
      <c r="K515" s="3">
        <f>SUMIFS($T$2:$T$10,$R$2:$R$10,E515)</f>
        <v>0.19</v>
      </c>
      <c r="L515" s="3">
        <f>SUMIFS($V$2:$V$10,$R$2:$R$10,F515)</f>
        <v>0.01</v>
      </c>
      <c r="M515" s="3">
        <f>SUMIFS($U$2:$U$10,$R$2:$R$10,D515)</f>
        <v>0.13</v>
      </c>
    </row>
    <row r="516" spans="1:13" x14ac:dyDescent="0.25">
      <c r="A516" s="2">
        <f>(A$2+A$2*K516+A$2*M516)*(1+L516)</f>
        <v>672.88319999999999</v>
      </c>
      <c r="B516" s="2">
        <f>(B$2+B$2*K516+B$2*M516)*(1+L516)</f>
        <v>782.65440000000012</v>
      </c>
      <c r="C516" s="2">
        <f>(C$2+C$2*K516+C$2*M516)*(1+L516)</f>
        <v>822.57119999999998</v>
      </c>
      <c r="D516" s="2">
        <v>6</v>
      </c>
      <c r="E516" s="2">
        <v>2</v>
      </c>
      <c r="F516" s="2">
        <v>6</v>
      </c>
      <c r="G516" s="2">
        <f>SUMIFS($S$2:$S$10,$R$2:$R$10,D516)</f>
        <v>15</v>
      </c>
      <c r="H516" s="2">
        <f>SUMIFS($S$2:$S$10,$R$2:$R$10,E516)</f>
        <v>2</v>
      </c>
      <c r="I516" s="2">
        <f>SUMIFS($S$2:$S$10,$R$2:$R$10,F516)</f>
        <v>15</v>
      </c>
      <c r="J516" s="2">
        <f>SUM(G516:I516)</f>
        <v>32</v>
      </c>
      <c r="K516" s="2">
        <f>SUMIFS($U$2:$U$10,$R$2:$R$10,E516)</f>
        <v>0.02</v>
      </c>
      <c r="L516" s="2">
        <f>SUMIFS($T$2:$T$10,$R$2:$R$10,F516)</f>
        <v>0.32</v>
      </c>
      <c r="M516" s="2">
        <f>SUMIFS($V$2:$V$10,$R$2:$R$10,D516)</f>
        <v>0.06</v>
      </c>
    </row>
    <row r="517" spans="1:13" x14ac:dyDescent="0.25">
      <c r="A517" s="2">
        <f>(A$2+A$2*K517+A$2*M517)*(1+L517)</f>
        <v>665.37840000000006</v>
      </c>
      <c r="B517" s="2">
        <f>(B$2+B$2*K517+B$2*M517)*(1+L517)</f>
        <v>773.92530000000011</v>
      </c>
      <c r="C517" s="2">
        <f>(C$2+C$2*K517+C$2*M517)*(1+L517)</f>
        <v>813.39690000000007</v>
      </c>
      <c r="D517" s="2">
        <v>6</v>
      </c>
      <c r="E517" s="2">
        <v>4</v>
      </c>
      <c r="F517" s="2">
        <v>5</v>
      </c>
      <c r="G517" s="2">
        <f>SUMIFS($S$2:$S$10,$R$2:$R$10,D517)</f>
        <v>15</v>
      </c>
      <c r="H517" s="2">
        <f>SUMIFS($S$2:$S$10,$R$2:$R$10,E517)</f>
        <v>7</v>
      </c>
      <c r="I517" s="2">
        <f>SUMIFS($S$2:$S$10,$R$2:$R$10,F517)</f>
        <v>10</v>
      </c>
      <c r="J517" s="2">
        <f>SUM(G517:I517)</f>
        <v>32</v>
      </c>
      <c r="K517" s="2">
        <f>SUMIFS($U$2:$U$10,$R$2:$R$10,E517)</f>
        <v>0.05</v>
      </c>
      <c r="L517" s="2">
        <f>SUMIFS($T$2:$T$10,$R$2:$R$10,F517)</f>
        <v>0.27</v>
      </c>
      <c r="M517" s="2">
        <f>SUMIFS($V$2:$V$10,$R$2:$R$10,D517)</f>
        <v>0.06</v>
      </c>
    </row>
    <row r="518" spans="1:13" x14ac:dyDescent="0.25">
      <c r="A518" s="2">
        <f>(A$2+A$2*K518+A$2*M518)*(1+L518)</f>
        <v>650.69920000000002</v>
      </c>
      <c r="B518" s="2">
        <f>(B$2+B$2*K518+B$2*M518)*(1+L518)</f>
        <v>756.85140000000013</v>
      </c>
      <c r="C518" s="2">
        <f>(C$2+C$2*K518+C$2*M518)*(1+L518)</f>
        <v>795.45219999999995</v>
      </c>
      <c r="D518" s="2">
        <v>6</v>
      </c>
      <c r="E518" s="2">
        <v>5</v>
      </c>
      <c r="F518" s="2">
        <v>4</v>
      </c>
      <c r="G518" s="2">
        <f>SUMIFS($S$2:$S$10,$R$2:$R$10,D518)</f>
        <v>15</v>
      </c>
      <c r="H518" s="2">
        <f>SUMIFS($S$2:$S$10,$R$2:$R$10,E518)</f>
        <v>10</v>
      </c>
      <c r="I518" s="2">
        <f>SUMIFS($S$2:$S$10,$R$2:$R$10,F518)</f>
        <v>7</v>
      </c>
      <c r="J518" s="2">
        <f>SUM(G518:I518)</f>
        <v>32</v>
      </c>
      <c r="K518" s="2">
        <f>SUMIFS($U$2:$U$10,$R$2:$R$10,E518)</f>
        <v>7.0000000000000007E-2</v>
      </c>
      <c r="L518" s="2">
        <f>SUMIFS($T$2:$T$10,$R$2:$R$10,F518)</f>
        <v>0.22</v>
      </c>
      <c r="M518" s="2">
        <f>SUMIFS($V$2:$V$10,$R$2:$R$10,D518)</f>
        <v>0.06</v>
      </c>
    </row>
    <row r="519" spans="1:13" x14ac:dyDescent="0.25">
      <c r="A519" s="2">
        <f>(A$2+A$2*K519+A$2*M519)*(1+L519)</f>
        <v>629.64800000000002</v>
      </c>
      <c r="B519" s="2">
        <f>(B$2+B$2*K519+B$2*M519)*(1+L519)</f>
        <v>732.36599999999987</v>
      </c>
      <c r="C519" s="2">
        <f>(C$2+C$2*K519+C$2*M519)*(1+L519)</f>
        <v>769.71799999999985</v>
      </c>
      <c r="D519" s="2">
        <v>6</v>
      </c>
      <c r="E519" s="2">
        <v>6</v>
      </c>
      <c r="F519" s="2">
        <v>2</v>
      </c>
      <c r="G519" s="2">
        <f>SUMIFS($S$2:$S$10,$R$2:$R$10,D519)</f>
        <v>15</v>
      </c>
      <c r="H519" s="2">
        <f>SUMIFS($S$2:$S$10,$R$2:$R$10,E519)</f>
        <v>15</v>
      </c>
      <c r="I519" s="2">
        <f>SUMIFS($S$2:$S$10,$R$2:$R$10,F519)</f>
        <v>2</v>
      </c>
      <c r="J519" s="2">
        <f>SUM(G519:I519)</f>
        <v>32</v>
      </c>
      <c r="K519" s="2">
        <f>SUMIFS($U$2:$U$10,$R$2:$R$10,E519)</f>
        <v>0.09</v>
      </c>
      <c r="L519" s="2">
        <f>SUMIFS($T$2:$T$10,$R$2:$R$10,F519)</f>
        <v>0.16</v>
      </c>
      <c r="M519" s="2">
        <f>SUMIFS($V$2:$V$10,$R$2:$R$10,D519)</f>
        <v>0.06</v>
      </c>
    </row>
    <row r="520" spans="1:13" x14ac:dyDescent="0.25">
      <c r="A520" s="2">
        <f>(A$2+A$2*K520+A$2*M520)*(1+L520)</f>
        <v>653.38960000000009</v>
      </c>
      <c r="B520" s="2">
        <f>(B$2+B$2*K520+B$2*M520)*(1+L520)</f>
        <v>759.98070000000007</v>
      </c>
      <c r="C520" s="2">
        <f>(C$2+C$2*K520+C$2*M520)*(1+L520)</f>
        <v>798.74109999999996</v>
      </c>
      <c r="D520" s="2">
        <v>7</v>
      </c>
      <c r="E520" s="2">
        <v>2</v>
      </c>
      <c r="F520" s="2">
        <v>5</v>
      </c>
      <c r="G520" s="2">
        <f>SUMIFS($S$2:$S$10,$R$2:$R$10,D520)</f>
        <v>20</v>
      </c>
      <c r="H520" s="2">
        <f>SUMIFS($S$2:$S$10,$R$2:$R$10,E520)</f>
        <v>2</v>
      </c>
      <c r="I520" s="2">
        <f>SUMIFS($S$2:$S$10,$R$2:$R$10,F520)</f>
        <v>10</v>
      </c>
      <c r="J520" s="2">
        <f>SUM(G520:I520)</f>
        <v>32</v>
      </c>
      <c r="K520" s="2">
        <f>SUMIFS($U$2:$U$10,$R$2:$R$10,E520)</f>
        <v>0.02</v>
      </c>
      <c r="L520" s="2">
        <f>SUMIFS($T$2:$T$10,$R$2:$R$10,F520)</f>
        <v>0.27</v>
      </c>
      <c r="M520" s="2">
        <f>SUMIFS($V$2:$V$10,$R$2:$R$10,D520)</f>
        <v>7.0000000000000007E-2</v>
      </c>
    </row>
    <row r="521" spans="1:13" x14ac:dyDescent="0.25">
      <c r="A521" s="2">
        <f>(A$2+A$2*K521+A$2*M521)*(1+L521)</f>
        <v>624.17280000000005</v>
      </c>
      <c r="B521" s="2">
        <f>(B$2+B$2*K521+B$2*M521)*(1+L521)</f>
        <v>725.99760000000015</v>
      </c>
      <c r="C521" s="2">
        <f>(C$2+C$2*K521+C$2*M521)*(1+L521)</f>
        <v>763.02479999999991</v>
      </c>
      <c r="D521" s="2">
        <v>7</v>
      </c>
      <c r="E521" s="2">
        <v>5</v>
      </c>
      <c r="F521" s="2">
        <v>2</v>
      </c>
      <c r="G521" s="2">
        <f>SUMIFS($S$2:$S$10,$R$2:$R$10,D521)</f>
        <v>20</v>
      </c>
      <c r="H521" s="2">
        <f>SUMIFS($S$2:$S$10,$R$2:$R$10,E521)</f>
        <v>10</v>
      </c>
      <c r="I521" s="2">
        <f>SUMIFS($S$2:$S$10,$R$2:$R$10,F521)</f>
        <v>2</v>
      </c>
      <c r="J521" s="2">
        <f>SUM(G521:I521)</f>
        <v>32</v>
      </c>
      <c r="K521" s="2">
        <f>SUMIFS($U$2:$U$10,$R$2:$R$10,E521)</f>
        <v>7.0000000000000007E-2</v>
      </c>
      <c r="L521" s="2">
        <f>SUMIFS($T$2:$T$10,$R$2:$R$10,F521)</f>
        <v>0.16</v>
      </c>
      <c r="M521" s="2">
        <f>SUMIFS($V$2:$V$10,$R$2:$R$10,D521)</f>
        <v>7.0000000000000007E-2</v>
      </c>
    </row>
    <row r="522" spans="1:13" x14ac:dyDescent="0.25">
      <c r="A522" s="2">
        <f>(A$2+A$2*K522+A$2*M522)*(1+L522)</f>
        <v>612.23119999999994</v>
      </c>
      <c r="B522" s="2">
        <f>(B$2+B$2*K522+B$2*M522)*(1+L522)</f>
        <v>712.10789999999997</v>
      </c>
      <c r="C522" s="2">
        <f>(C$2+C$2*K522+C$2*M522)*(1+L522)</f>
        <v>748.42669999999987</v>
      </c>
      <c r="D522" s="2">
        <v>8</v>
      </c>
      <c r="E522" s="2">
        <v>1</v>
      </c>
      <c r="F522" s="2">
        <v>3</v>
      </c>
      <c r="G522" s="2">
        <f>SUMIFS($S$2:$S$10,$R$2:$R$10,D522)</f>
        <v>27</v>
      </c>
      <c r="H522" s="2">
        <f>SUMIFS($S$2:$S$10,$R$2:$R$10,E522)</f>
        <v>1</v>
      </c>
      <c r="I522" s="2">
        <f>SUMIFS($S$2:$S$10,$R$2:$R$10,F522)</f>
        <v>4</v>
      </c>
      <c r="J522" s="2">
        <f>SUM(G522:I522)</f>
        <v>32</v>
      </c>
      <c r="K522" s="2">
        <f>SUMIFS($U$2:$U$10,$R$2:$R$10,E522)</f>
        <v>0.01</v>
      </c>
      <c r="L522" s="2">
        <f>SUMIFS($T$2:$T$10,$R$2:$R$10,F522)</f>
        <v>0.19</v>
      </c>
      <c r="M522" s="2">
        <f>SUMIFS($V$2:$V$10,$R$2:$R$10,D522)</f>
        <v>0.08</v>
      </c>
    </row>
    <row r="523" spans="1:13" x14ac:dyDescent="0.25">
      <c r="A523" s="2">
        <f>(A$2+A$2*K523+A$2*M523)*(1+L523)</f>
        <v>592.02960000000007</v>
      </c>
      <c r="B523" s="2">
        <f>(B$2+B$2*K523+B$2*M523)*(1+L523)</f>
        <v>688.61069999999995</v>
      </c>
      <c r="C523" s="2">
        <f>(C$2+C$2*K523+C$2*M523)*(1+L523)</f>
        <v>723.73109999999986</v>
      </c>
      <c r="D523" s="2">
        <v>8</v>
      </c>
      <c r="E523" s="2">
        <v>3</v>
      </c>
      <c r="F523" s="2">
        <v>1</v>
      </c>
      <c r="G523" s="2">
        <f>SUMIFS($S$2:$S$10,$R$2:$R$10,D523)</f>
        <v>27</v>
      </c>
      <c r="H523" s="2">
        <f>SUMIFS($S$2:$S$10,$R$2:$R$10,E523)</f>
        <v>4</v>
      </c>
      <c r="I523" s="2">
        <f>SUMIFS($S$2:$S$10,$R$2:$R$10,F523)</f>
        <v>1</v>
      </c>
      <c r="J523" s="2">
        <f>SUM(G523:I523)</f>
        <v>32</v>
      </c>
      <c r="K523" s="2">
        <f>SUMIFS($U$2:$U$10,$R$2:$R$10,E523)</f>
        <v>0.03</v>
      </c>
      <c r="L523" s="2">
        <f>SUMIFS($T$2:$T$10,$R$2:$R$10,F523)</f>
        <v>0.13</v>
      </c>
      <c r="M523" s="2">
        <f>SUMIFS($V$2:$V$10,$R$2:$R$10,D523)</f>
        <v>0.08</v>
      </c>
    </row>
    <row r="524" spans="1:13" x14ac:dyDescent="0.25">
      <c r="A524" s="1">
        <f>(A$2+A$2*K524+A$2*L524)*(1+M524)</f>
        <v>708.70799999999997</v>
      </c>
      <c r="B524" s="1">
        <f>(B$2+B$2*K524+B$2*L524)*(1+M524)</f>
        <v>824.32350000000008</v>
      </c>
      <c r="C524" s="1">
        <f>(C$2+C$2*K524+C$2*L524)*(1+M524)</f>
        <v>866.36549999999988</v>
      </c>
      <c r="D524" s="1">
        <v>8</v>
      </c>
      <c r="E524" s="1">
        <v>2</v>
      </c>
      <c r="F524" s="1">
        <v>3</v>
      </c>
      <c r="G524" s="1">
        <f>SUMIFS($S$2:$S$10,$R$2:$R$10,D524)</f>
        <v>27</v>
      </c>
      <c r="H524" s="1">
        <f>SUMIFS($S$2:$S$10,$R$2:$R$10,E524)</f>
        <v>2</v>
      </c>
      <c r="I524" s="1">
        <f>SUMIFS($S$2:$S$10,$R$2:$R$10,F524)</f>
        <v>4</v>
      </c>
      <c r="J524" s="1">
        <f>SUM(G524:I524)</f>
        <v>33</v>
      </c>
      <c r="K524" s="1">
        <f>SUMIFS($U$2:$U$10,$R$2:$R$10,E524)</f>
        <v>0.02</v>
      </c>
      <c r="L524" s="1">
        <f>SUMIFS($V$2:$V$10,$R$2:$R$10,F524)</f>
        <v>0.03</v>
      </c>
      <c r="M524" s="1">
        <f>SUMIFS($T$2:$T$10,$R$2:$R$10,D524)</f>
        <v>0.43</v>
      </c>
    </row>
    <row r="525" spans="1:13" x14ac:dyDescent="0.25">
      <c r="A525" s="1">
        <f>(A$2+A$2*K525+A$2*L525)*(1+M525)</f>
        <v>708.70799999999997</v>
      </c>
      <c r="B525" s="1">
        <f>(B$2+B$2*K525+B$2*L525)*(1+M525)</f>
        <v>824.32350000000008</v>
      </c>
      <c r="C525" s="1">
        <f>(C$2+C$2*K525+C$2*L525)*(1+M525)</f>
        <v>866.36549999999988</v>
      </c>
      <c r="D525" s="1">
        <v>8</v>
      </c>
      <c r="E525" s="1">
        <v>3</v>
      </c>
      <c r="F525" s="1">
        <v>2</v>
      </c>
      <c r="G525" s="1">
        <f>SUMIFS($S$2:$S$10,$R$2:$R$10,D525)</f>
        <v>27</v>
      </c>
      <c r="H525" s="1">
        <f>SUMIFS($S$2:$S$10,$R$2:$R$10,E525)</f>
        <v>4</v>
      </c>
      <c r="I525" s="1">
        <f>SUMIFS($S$2:$S$10,$R$2:$R$10,F525)</f>
        <v>2</v>
      </c>
      <c r="J525" s="1">
        <f>SUM(G525:I525)</f>
        <v>33</v>
      </c>
      <c r="K525" s="1">
        <f>SUMIFS($U$2:$U$10,$R$2:$R$10,E525)</f>
        <v>0.03</v>
      </c>
      <c r="L525" s="1">
        <f>SUMIFS($V$2:$V$10,$R$2:$R$10,F525)</f>
        <v>0.02</v>
      </c>
      <c r="M525" s="1">
        <f>SUMIFS($T$2:$T$10,$R$2:$R$10,D525)</f>
        <v>0.43</v>
      </c>
    </row>
    <row r="526" spans="1:13" x14ac:dyDescent="0.25">
      <c r="A526" s="3">
        <f>(A$2+A$2*M526+A$2*L526)*(1+K526)</f>
        <v>635.12319999999988</v>
      </c>
      <c r="B526" s="3">
        <f>(B$2+B$2*M526+B$2*L526)*(1+K526)</f>
        <v>738.73439999999994</v>
      </c>
      <c r="C526" s="3">
        <f>(C$2+C$2*M526+C$2*L526)*(1+K526)</f>
        <v>776.41119999999989</v>
      </c>
      <c r="D526" s="3">
        <v>8</v>
      </c>
      <c r="E526" s="3">
        <v>2</v>
      </c>
      <c r="F526" s="3">
        <v>3</v>
      </c>
      <c r="G526" s="3">
        <f>SUMIFS($S$2:$S$10,$R$2:$R$10,D526)</f>
        <v>27</v>
      </c>
      <c r="H526" s="3">
        <f>SUMIFS($S$2:$S$10,$R$2:$R$10,E526)</f>
        <v>2</v>
      </c>
      <c r="I526" s="3">
        <f>SUMIFS($S$2:$S$10,$R$2:$R$10,F526)</f>
        <v>4</v>
      </c>
      <c r="J526" s="3">
        <f>SUM(G526:I526)</f>
        <v>33</v>
      </c>
      <c r="K526" s="3">
        <f>SUMIFS($T$2:$T$10,$R$2:$R$10,E526)</f>
        <v>0.16</v>
      </c>
      <c r="L526" s="3">
        <f>SUMIFS($V$2:$V$10,$R$2:$R$10,F526)</f>
        <v>0.03</v>
      </c>
      <c r="M526" s="3">
        <f>SUMIFS($U$2:$U$10,$R$2:$R$10,D526)</f>
        <v>0.13</v>
      </c>
    </row>
    <row r="527" spans="1:13" x14ac:dyDescent="0.25">
      <c r="A527" s="3">
        <f>(A$2+A$2*M527+A$2*L527)*(1+K527)</f>
        <v>645.93200000000002</v>
      </c>
      <c r="B527" s="3">
        <f>(B$2+B$2*M527+B$2*L527)*(1+K527)</f>
        <v>751.30650000000003</v>
      </c>
      <c r="C527" s="3">
        <f>(C$2+C$2*M527+C$2*L527)*(1+K527)</f>
        <v>789.6244999999999</v>
      </c>
      <c r="D527" s="3">
        <v>8</v>
      </c>
      <c r="E527" s="3">
        <v>3</v>
      </c>
      <c r="F527" s="3">
        <v>2</v>
      </c>
      <c r="G527" s="3">
        <f>SUMIFS($S$2:$S$10,$R$2:$R$10,D527)</f>
        <v>27</v>
      </c>
      <c r="H527" s="3">
        <f>SUMIFS($S$2:$S$10,$R$2:$R$10,E527)</f>
        <v>4</v>
      </c>
      <c r="I527" s="3">
        <f>SUMIFS($S$2:$S$10,$R$2:$R$10,F527)</f>
        <v>2</v>
      </c>
      <c r="J527" s="3">
        <f>SUM(G527:I527)</f>
        <v>33</v>
      </c>
      <c r="K527" s="3">
        <f>SUMIFS($T$2:$T$10,$R$2:$R$10,E527)</f>
        <v>0.19</v>
      </c>
      <c r="L527" s="3">
        <f>SUMIFS($V$2:$V$10,$R$2:$R$10,F527)</f>
        <v>0.02</v>
      </c>
      <c r="M527" s="3">
        <f>SUMIFS($U$2:$U$10,$R$2:$R$10,D527)</f>
        <v>0.13</v>
      </c>
    </row>
    <row r="528" spans="1:13" x14ac:dyDescent="0.25">
      <c r="A528" s="2">
        <f>(A$2+A$2*K528+A$2*M528)*(1+L528)</f>
        <v>617.84800000000007</v>
      </c>
      <c r="B528" s="2">
        <f>(B$2+B$2*K528+B$2*M528)*(1+L528)</f>
        <v>718.64099999999996</v>
      </c>
      <c r="C528" s="2">
        <f>(C$2+C$2*K528+C$2*M528)*(1+L528)</f>
        <v>755.29299999999989</v>
      </c>
      <c r="D528" s="2">
        <v>8</v>
      </c>
      <c r="E528" s="2">
        <v>2</v>
      </c>
      <c r="F528" s="2">
        <v>3</v>
      </c>
      <c r="G528" s="2">
        <f>SUMIFS($S$2:$S$10,$R$2:$R$10,D528)</f>
        <v>27</v>
      </c>
      <c r="H528" s="2">
        <f>SUMIFS($S$2:$S$10,$R$2:$R$10,E528)</f>
        <v>2</v>
      </c>
      <c r="I528" s="2">
        <f>SUMIFS($S$2:$S$10,$R$2:$R$10,F528)</f>
        <v>4</v>
      </c>
      <c r="J528" s="2">
        <f>SUM(G528:I528)</f>
        <v>33</v>
      </c>
      <c r="K528" s="2">
        <f>SUMIFS($U$2:$U$10,$R$2:$R$10,E528)</f>
        <v>0.02</v>
      </c>
      <c r="L528" s="2">
        <f>SUMIFS($T$2:$T$10,$R$2:$R$10,F528)</f>
        <v>0.19</v>
      </c>
      <c r="M528" s="2">
        <f>SUMIFS($V$2:$V$10,$R$2:$R$10,D528)</f>
        <v>0.08</v>
      </c>
    </row>
    <row r="529" spans="1:13" x14ac:dyDescent="0.25">
      <c r="A529" s="2">
        <f>(A$2+A$2*K529+A$2*M529)*(1+L529)</f>
        <v>607.74720000000002</v>
      </c>
      <c r="B529" s="2">
        <f>(B$2+B$2*K529+B$2*M529)*(1+L529)</f>
        <v>706.89239999999995</v>
      </c>
      <c r="C529" s="2">
        <f>(C$2+C$2*K529+C$2*M529)*(1+L529)</f>
        <v>742.94519999999989</v>
      </c>
      <c r="D529" s="2">
        <v>8</v>
      </c>
      <c r="E529" s="2">
        <v>3</v>
      </c>
      <c r="F529" s="2">
        <v>2</v>
      </c>
      <c r="G529" s="2">
        <f>SUMIFS($S$2:$S$10,$R$2:$R$10,D529)</f>
        <v>27</v>
      </c>
      <c r="H529" s="2">
        <f>SUMIFS($S$2:$S$10,$R$2:$R$10,E529)</f>
        <v>4</v>
      </c>
      <c r="I529" s="2">
        <f>SUMIFS($S$2:$S$10,$R$2:$R$10,F529)</f>
        <v>2</v>
      </c>
      <c r="J529" s="2">
        <f>SUM(G529:I529)</f>
        <v>33</v>
      </c>
      <c r="K529" s="2">
        <f>SUMIFS($U$2:$U$10,$R$2:$R$10,E529)</f>
        <v>0.03</v>
      </c>
      <c r="L529" s="2">
        <f>SUMIFS($T$2:$T$10,$R$2:$R$10,F529)</f>
        <v>0.16</v>
      </c>
      <c r="M529" s="2">
        <f>SUMIFS($V$2:$V$10,$R$2:$R$10,D529)</f>
        <v>0.08</v>
      </c>
    </row>
    <row r="530" spans="1:13" x14ac:dyDescent="0.25">
      <c r="A530" s="1">
        <f>(A$2+A$2*K530+A$2*L530)*(1+M530)</f>
        <v>679.11360000000002</v>
      </c>
      <c r="B530" s="1">
        <f>(B$2+B$2*K530+B$2*L530)*(1+M530)</f>
        <v>789.90120000000013</v>
      </c>
      <c r="C530" s="1">
        <f>(C$2+C$2*K530+C$2*L530)*(1+M530)</f>
        <v>830.18759999999997</v>
      </c>
      <c r="D530" s="1">
        <v>6</v>
      </c>
      <c r="E530" s="1">
        <v>3</v>
      </c>
      <c r="F530" s="1">
        <v>6</v>
      </c>
      <c r="G530" s="1">
        <f>SUMIFS($S$2:$S$10,$R$2:$R$10,D530)</f>
        <v>15</v>
      </c>
      <c r="H530" s="1">
        <f>SUMIFS($S$2:$S$10,$R$2:$R$10,E530)</f>
        <v>4</v>
      </c>
      <c r="I530" s="1">
        <f>SUMIFS($S$2:$S$10,$R$2:$R$10,F530)</f>
        <v>15</v>
      </c>
      <c r="J530" s="1">
        <f>SUM(G530:I530)</f>
        <v>34</v>
      </c>
      <c r="K530" s="1">
        <f>SUMIFS($U$2:$U$10,$R$2:$R$10,E530)</f>
        <v>0.03</v>
      </c>
      <c r="L530" s="1">
        <f>SUMIFS($V$2:$V$10,$R$2:$R$10,F530)</f>
        <v>0.06</v>
      </c>
      <c r="M530" s="1">
        <f>SUMIFS($T$2:$T$10,$R$2:$R$10,D530)</f>
        <v>0.32</v>
      </c>
    </row>
    <row r="531" spans="1:13" x14ac:dyDescent="0.25">
      <c r="A531" s="1">
        <f>(A$2+A$2*K531+A$2*L531)*(1+M531)</f>
        <v>697.8048</v>
      </c>
      <c r="B531" s="1">
        <f>(B$2+B$2*K531+B$2*L531)*(1+M531)</f>
        <v>811.64160000000004</v>
      </c>
      <c r="C531" s="1">
        <f>(C$2+C$2*K531+C$2*L531)*(1+M531)</f>
        <v>853.03679999999986</v>
      </c>
      <c r="D531" s="1">
        <v>6</v>
      </c>
      <c r="E531" s="1">
        <v>6</v>
      </c>
      <c r="F531" s="1">
        <v>3</v>
      </c>
      <c r="G531" s="1">
        <f>SUMIFS($S$2:$S$10,$R$2:$R$10,D531)</f>
        <v>15</v>
      </c>
      <c r="H531" s="1">
        <f>SUMIFS($S$2:$S$10,$R$2:$R$10,E531)</f>
        <v>15</v>
      </c>
      <c r="I531" s="1">
        <f>SUMIFS($S$2:$S$10,$R$2:$R$10,F531)</f>
        <v>4</v>
      </c>
      <c r="J531" s="1">
        <f>SUM(G531:I531)</f>
        <v>34</v>
      </c>
      <c r="K531" s="1">
        <f>SUMIFS($U$2:$U$10,$R$2:$R$10,E531)</f>
        <v>0.09</v>
      </c>
      <c r="L531" s="1">
        <f>SUMIFS($V$2:$V$10,$R$2:$R$10,F531)</f>
        <v>0.03</v>
      </c>
      <c r="M531" s="1">
        <f>SUMIFS($T$2:$T$10,$R$2:$R$10,D531)</f>
        <v>0.32</v>
      </c>
    </row>
    <row r="532" spans="1:13" x14ac:dyDescent="0.25">
      <c r="A532" s="1">
        <f>(A$2+A$2*K532+A$2*L532)*(1+M532)</f>
        <v>698.37120000000016</v>
      </c>
      <c r="B532" s="1">
        <f>(B$2+B$2*K532+B$2*L532)*(1+M532)</f>
        <v>812.3004000000002</v>
      </c>
      <c r="C532" s="1">
        <f>(C$2+C$2*K532+C$2*L532)*(1+M532)</f>
        <v>853.72919999999999</v>
      </c>
      <c r="D532" s="1">
        <v>7</v>
      </c>
      <c r="E532" s="1">
        <v>3</v>
      </c>
      <c r="F532" s="1">
        <v>5</v>
      </c>
      <c r="G532" s="1">
        <f>SUMIFS($S$2:$S$10,$R$2:$R$10,D532)</f>
        <v>20</v>
      </c>
      <c r="H532" s="1">
        <f>SUMIFS($S$2:$S$10,$R$2:$R$10,E532)</f>
        <v>4</v>
      </c>
      <c r="I532" s="1">
        <f>SUMIFS($S$2:$S$10,$R$2:$R$10,F532)</f>
        <v>10</v>
      </c>
      <c r="J532" s="1">
        <f>SUM(G532:I532)</f>
        <v>34</v>
      </c>
      <c r="K532" s="1">
        <f>SUMIFS($U$2:$U$10,$R$2:$R$10,E532)</f>
        <v>0.03</v>
      </c>
      <c r="L532" s="1">
        <f>SUMIFS($V$2:$V$10,$R$2:$R$10,F532)</f>
        <v>0.05</v>
      </c>
      <c r="M532" s="1">
        <f>SUMIFS($T$2:$T$10,$R$2:$R$10,D532)</f>
        <v>0.37</v>
      </c>
    </row>
    <row r="533" spans="1:13" x14ac:dyDescent="0.25">
      <c r="A533" s="1">
        <f>(A$2+A$2*K533+A$2*L533)*(1+M533)</f>
        <v>704.83760000000007</v>
      </c>
      <c r="B533" s="1">
        <f>(B$2+B$2*K533+B$2*L533)*(1+M533)</f>
        <v>819.82170000000019</v>
      </c>
      <c r="C533" s="1">
        <f>(C$2+C$2*K533+C$2*L533)*(1+M533)</f>
        <v>861.6341000000001</v>
      </c>
      <c r="D533" s="1">
        <v>7</v>
      </c>
      <c r="E533" s="1">
        <v>4</v>
      </c>
      <c r="F533" s="1">
        <v>4</v>
      </c>
      <c r="G533" s="1">
        <f>SUMIFS($S$2:$S$10,$R$2:$R$10,D533)</f>
        <v>20</v>
      </c>
      <c r="H533" s="1">
        <f>SUMIFS($S$2:$S$10,$R$2:$R$10,E533)</f>
        <v>7</v>
      </c>
      <c r="I533" s="1">
        <f>SUMIFS($S$2:$S$10,$R$2:$R$10,F533)</f>
        <v>7</v>
      </c>
      <c r="J533" s="1">
        <f>SUM(G533:I533)</f>
        <v>34</v>
      </c>
      <c r="K533" s="1">
        <f>SUMIFS($U$2:$U$10,$R$2:$R$10,E533)</f>
        <v>0.05</v>
      </c>
      <c r="L533" s="1">
        <f>SUMIFS($V$2:$V$10,$R$2:$R$10,F533)</f>
        <v>0.04</v>
      </c>
      <c r="M533" s="1">
        <f>SUMIFS($T$2:$T$10,$R$2:$R$10,D533)</f>
        <v>0.37</v>
      </c>
    </row>
    <row r="534" spans="1:13" x14ac:dyDescent="0.25">
      <c r="A534" s="1">
        <f>(A$2+A$2*K534+A$2*L534)*(1+M534)</f>
        <v>711.30400000000009</v>
      </c>
      <c r="B534" s="1">
        <f>(B$2+B$2*K534+B$2*L534)*(1+M534)</f>
        <v>827.34300000000019</v>
      </c>
      <c r="C534" s="1">
        <f>(C$2+C$2*K534+C$2*L534)*(1+M534)</f>
        <v>869.53899999999999</v>
      </c>
      <c r="D534" s="1">
        <v>7</v>
      </c>
      <c r="E534" s="1">
        <v>5</v>
      </c>
      <c r="F534" s="1">
        <v>3</v>
      </c>
      <c r="G534" s="1">
        <f>SUMIFS($S$2:$S$10,$R$2:$R$10,D534)</f>
        <v>20</v>
      </c>
      <c r="H534" s="1">
        <f>SUMIFS($S$2:$S$10,$R$2:$R$10,E534)</f>
        <v>10</v>
      </c>
      <c r="I534" s="1">
        <f>SUMIFS($S$2:$S$10,$R$2:$R$10,F534)</f>
        <v>4</v>
      </c>
      <c r="J534" s="1">
        <f>SUM(G534:I534)</f>
        <v>34</v>
      </c>
      <c r="K534" s="1">
        <f>SUMIFS($U$2:$U$10,$R$2:$R$10,E534)</f>
        <v>7.0000000000000007E-2</v>
      </c>
      <c r="L534" s="1">
        <f>SUMIFS($V$2:$V$10,$R$2:$R$10,F534)</f>
        <v>0.03</v>
      </c>
      <c r="M534" s="1">
        <f>SUMIFS($T$2:$T$10,$R$2:$R$10,D534)</f>
        <v>0.37</v>
      </c>
    </row>
    <row r="535" spans="1:13" x14ac:dyDescent="0.25">
      <c r="A535" s="1">
        <f>(A$2+A$2*K535+A$2*L535)*(1+M535)</f>
        <v>701.95839999999998</v>
      </c>
      <c r="B535" s="1">
        <f>(B$2+B$2*K535+B$2*L535)*(1+M535)</f>
        <v>816.47280000000001</v>
      </c>
      <c r="C535" s="1">
        <f>(C$2+C$2*K535+C$2*L535)*(1+M535)</f>
        <v>858.11440000000005</v>
      </c>
      <c r="D535" s="1">
        <v>8</v>
      </c>
      <c r="E535" s="1">
        <v>0</v>
      </c>
      <c r="F535" s="1">
        <v>4</v>
      </c>
      <c r="G535" s="1">
        <f>SUMIFS($S$2:$S$10,$R$2:$R$10,D535)</f>
        <v>27</v>
      </c>
      <c r="H535" s="1">
        <f>SUMIFS($S$2:$S$10,$R$2:$R$10,E535)</f>
        <v>0</v>
      </c>
      <c r="I535" s="1">
        <f>SUMIFS($S$2:$S$10,$R$2:$R$10,F535)</f>
        <v>7</v>
      </c>
      <c r="J535" s="1">
        <f>SUM(G535:I535)</f>
        <v>34</v>
      </c>
      <c r="K535" s="1">
        <f>SUMIFS($U$2:$U$10,$R$2:$R$10,E535)</f>
        <v>0</v>
      </c>
      <c r="L535" s="1">
        <f>SUMIFS($V$2:$V$10,$R$2:$R$10,F535)</f>
        <v>0.04</v>
      </c>
      <c r="M535" s="1">
        <f>SUMIFS($T$2:$T$10,$R$2:$R$10,D535)</f>
        <v>0.43</v>
      </c>
    </row>
    <row r="536" spans="1:13" x14ac:dyDescent="0.25">
      <c r="A536" s="1">
        <f>(A$2+A$2*K536+A$2*L536)*(1+M536)</f>
        <v>708.70799999999997</v>
      </c>
      <c r="B536" s="1">
        <f>(B$2+B$2*K536+B$2*L536)*(1+M536)</f>
        <v>824.32350000000008</v>
      </c>
      <c r="C536" s="1">
        <f>(C$2+C$2*K536+C$2*L536)*(1+M536)</f>
        <v>866.3655</v>
      </c>
      <c r="D536" s="1">
        <v>8</v>
      </c>
      <c r="E536" s="1">
        <v>4</v>
      </c>
      <c r="F536" s="1">
        <v>0</v>
      </c>
      <c r="G536" s="1">
        <f>SUMIFS($S$2:$S$10,$R$2:$R$10,D536)</f>
        <v>27</v>
      </c>
      <c r="H536" s="1">
        <f>SUMIFS($S$2:$S$10,$R$2:$R$10,E536)</f>
        <v>7</v>
      </c>
      <c r="I536" s="1">
        <f>SUMIFS($S$2:$S$10,$R$2:$R$10,F536)</f>
        <v>0</v>
      </c>
      <c r="J536" s="1">
        <f>SUM(G536:I536)</f>
        <v>34</v>
      </c>
      <c r="K536" s="1">
        <f>SUMIFS($U$2:$U$10,$R$2:$R$10,E536)</f>
        <v>0.05</v>
      </c>
      <c r="L536" s="1">
        <f>SUMIFS($V$2:$V$10,$R$2:$R$10,F536)</f>
        <v>0</v>
      </c>
      <c r="M536" s="1">
        <f>SUMIFS($T$2:$T$10,$R$2:$R$10,D536)</f>
        <v>0.43</v>
      </c>
    </row>
    <row r="537" spans="1:13" x14ac:dyDescent="0.25">
      <c r="A537" s="1">
        <f>(A$2+A$2*K537+A$2*L537)*(1+M537)</f>
        <v>703.28</v>
      </c>
      <c r="B537" s="1">
        <f>(B$2+B$2*K537+B$2*L537)*(1+M537)</f>
        <v>818.01</v>
      </c>
      <c r="C537" s="1">
        <f>(C$2+C$2*K537+C$2*L537)*(1+M537)</f>
        <v>859.73</v>
      </c>
      <c r="D537" s="1">
        <v>9</v>
      </c>
      <c r="E537" s="1">
        <v>0</v>
      </c>
      <c r="F537" s="1">
        <v>0</v>
      </c>
      <c r="G537" s="1">
        <f>SUMIFS($S$2:$S$10,$R$2:$R$10,D537)</f>
        <v>34</v>
      </c>
      <c r="H537" s="1">
        <f>SUMIFS($S$2:$S$10,$R$2:$R$10,E537)</f>
        <v>0</v>
      </c>
      <c r="I537" s="1">
        <f>SUMIFS($S$2:$S$10,$R$2:$R$10,F537)</f>
        <v>0</v>
      </c>
      <c r="J537" s="1">
        <f>SUM(G537:I537)</f>
        <v>34</v>
      </c>
      <c r="K537" s="1">
        <f>SUMIFS($U$2:$U$10,$R$2:$R$10,E537)</f>
        <v>0</v>
      </c>
      <c r="L537" s="1">
        <f>SUMIFS($V$2:$V$10,$R$2:$R$10,F537)</f>
        <v>0</v>
      </c>
      <c r="M537" s="1">
        <f>SUMIFS($T$2:$T$10,$R$2:$R$10,D537)</f>
        <v>0.49</v>
      </c>
    </row>
    <row r="538" spans="1:13" x14ac:dyDescent="0.25">
      <c r="A538" s="3">
        <f>(A$2+A$2*M538+A$2*L538)*(1+K538)</f>
        <v>645.93200000000002</v>
      </c>
      <c r="B538" s="3">
        <f>(B$2+B$2*M538+B$2*L538)*(1+K538)</f>
        <v>751.30649999999991</v>
      </c>
      <c r="C538" s="3">
        <f>(C$2+C$2*M538+C$2*L538)*(1+K538)</f>
        <v>789.6244999999999</v>
      </c>
      <c r="D538" s="3">
        <v>6</v>
      </c>
      <c r="E538" s="3">
        <v>3</v>
      </c>
      <c r="F538" s="3">
        <v>6</v>
      </c>
      <c r="G538" s="3">
        <f>SUMIFS($S$2:$S$10,$R$2:$R$10,D538)</f>
        <v>15</v>
      </c>
      <c r="H538" s="3">
        <f>SUMIFS($S$2:$S$10,$R$2:$R$10,E538)</f>
        <v>4</v>
      </c>
      <c r="I538" s="3">
        <f>SUMIFS($S$2:$S$10,$R$2:$R$10,F538)</f>
        <v>15</v>
      </c>
      <c r="J538" s="3">
        <f>SUM(G538:I538)</f>
        <v>34</v>
      </c>
      <c r="K538" s="3">
        <f>SUMIFS($T$2:$T$10,$R$2:$R$10,E538)</f>
        <v>0.19</v>
      </c>
      <c r="L538" s="3">
        <f>SUMIFS($V$2:$V$10,$R$2:$R$10,F538)</f>
        <v>0.06</v>
      </c>
      <c r="M538" s="3">
        <f>SUMIFS($U$2:$U$10,$R$2:$R$10,D538)</f>
        <v>0.09</v>
      </c>
    </row>
    <row r="539" spans="1:13" x14ac:dyDescent="0.25">
      <c r="A539" s="3">
        <f>(A$2+A$2*M539+A$2*L539)*(1+K539)</f>
        <v>697.8048</v>
      </c>
      <c r="B539" s="3">
        <f>(B$2+B$2*M539+B$2*L539)*(1+K539)</f>
        <v>811.64160000000004</v>
      </c>
      <c r="C539" s="3">
        <f>(C$2+C$2*M539+C$2*L539)*(1+K539)</f>
        <v>853.03679999999986</v>
      </c>
      <c r="D539" s="3">
        <v>6</v>
      </c>
      <c r="E539" s="3">
        <v>6</v>
      </c>
      <c r="F539" s="3">
        <v>3</v>
      </c>
      <c r="G539" s="3">
        <f>SUMIFS($S$2:$S$10,$R$2:$R$10,D539)</f>
        <v>15</v>
      </c>
      <c r="H539" s="3">
        <f>SUMIFS($S$2:$S$10,$R$2:$R$10,E539)</f>
        <v>15</v>
      </c>
      <c r="I539" s="3">
        <f>SUMIFS($S$2:$S$10,$R$2:$R$10,F539)</f>
        <v>4</v>
      </c>
      <c r="J539" s="3">
        <f>SUM(G539:I539)</f>
        <v>34</v>
      </c>
      <c r="K539" s="3">
        <f>SUMIFS($T$2:$T$10,$R$2:$R$10,E539)</f>
        <v>0.32</v>
      </c>
      <c r="L539" s="3">
        <f>SUMIFS($V$2:$V$10,$R$2:$R$10,F539)</f>
        <v>0.03</v>
      </c>
      <c r="M539" s="3">
        <f>SUMIFS($U$2:$U$10,$R$2:$R$10,D539)</f>
        <v>0.09</v>
      </c>
    </row>
    <row r="540" spans="1:13" x14ac:dyDescent="0.25">
      <c r="A540" s="3">
        <f>(A$2+A$2*M540+A$2*L540)*(1+K540)</f>
        <v>651.54879999999991</v>
      </c>
      <c r="B540" s="3">
        <f>(B$2+B$2*M540+B$2*L540)*(1+K540)</f>
        <v>757.83960000000002</v>
      </c>
      <c r="C540" s="3">
        <f>(C$2+C$2*M540+C$2*L540)*(1+K540)</f>
        <v>796.49080000000004</v>
      </c>
      <c r="D540" s="3">
        <v>7</v>
      </c>
      <c r="E540" s="3">
        <v>3</v>
      </c>
      <c r="F540" s="3">
        <v>5</v>
      </c>
      <c r="G540" s="3">
        <f>SUMIFS($S$2:$S$10,$R$2:$R$10,D540)</f>
        <v>20</v>
      </c>
      <c r="H540" s="3">
        <f>SUMIFS($S$2:$S$10,$R$2:$R$10,E540)</f>
        <v>4</v>
      </c>
      <c r="I540" s="3">
        <f>SUMIFS($S$2:$S$10,$R$2:$R$10,F540)</f>
        <v>10</v>
      </c>
      <c r="J540" s="3">
        <f>SUM(G540:I540)</f>
        <v>34</v>
      </c>
      <c r="K540" s="3">
        <f>SUMIFS($T$2:$T$10,$R$2:$R$10,E540)</f>
        <v>0.19</v>
      </c>
      <c r="L540" s="3">
        <f>SUMIFS($V$2:$V$10,$R$2:$R$10,F540)</f>
        <v>0.05</v>
      </c>
      <c r="M540" s="3">
        <f>SUMIFS($U$2:$U$10,$R$2:$R$10,D540)</f>
        <v>0.11</v>
      </c>
    </row>
    <row r="541" spans="1:13" x14ac:dyDescent="0.25">
      <c r="A541" s="3">
        <f>(A$2+A$2*M541+A$2*L541)*(1+K541)</f>
        <v>662.21599999999989</v>
      </c>
      <c r="B541" s="3">
        <f>(B$2+B$2*M541+B$2*L541)*(1+K541)</f>
        <v>770.24699999999996</v>
      </c>
      <c r="C541" s="3">
        <f>(C$2+C$2*M541+C$2*L541)*(1+K541)</f>
        <v>809.53100000000006</v>
      </c>
      <c r="D541" s="3">
        <v>7</v>
      </c>
      <c r="E541" s="3">
        <v>4</v>
      </c>
      <c r="F541" s="3">
        <v>4</v>
      </c>
      <c r="G541" s="3">
        <f>SUMIFS($S$2:$S$10,$R$2:$R$10,D541)</f>
        <v>20</v>
      </c>
      <c r="H541" s="3">
        <f>SUMIFS($S$2:$S$10,$R$2:$R$10,E541)</f>
        <v>7</v>
      </c>
      <c r="I541" s="3">
        <f>SUMIFS($S$2:$S$10,$R$2:$R$10,F541)</f>
        <v>7</v>
      </c>
      <c r="J541" s="3">
        <f>SUM(G541:I541)</f>
        <v>34</v>
      </c>
      <c r="K541" s="3">
        <f>SUMIFS($T$2:$T$10,$R$2:$R$10,E541)</f>
        <v>0.22</v>
      </c>
      <c r="L541" s="3">
        <f>SUMIFS($V$2:$V$10,$R$2:$R$10,F541)</f>
        <v>0.04</v>
      </c>
      <c r="M541" s="3">
        <f>SUMIFS($U$2:$U$10,$R$2:$R$10,D541)</f>
        <v>0.11</v>
      </c>
    </row>
    <row r="542" spans="1:13" x14ac:dyDescent="0.25">
      <c r="A542" s="3">
        <f>(A$2+A$2*M542+A$2*L542)*(1+K542)</f>
        <v>683.36159999999995</v>
      </c>
      <c r="B542" s="3">
        <f>(B$2+B$2*M542+B$2*L542)*(1+K542)</f>
        <v>794.84220000000005</v>
      </c>
      <c r="C542" s="3">
        <f>(C$2+C$2*M542+C$2*L542)*(1+K542)</f>
        <v>835.38059999999996</v>
      </c>
      <c r="D542" s="3">
        <v>7</v>
      </c>
      <c r="E542" s="3">
        <v>5</v>
      </c>
      <c r="F542" s="3">
        <v>3</v>
      </c>
      <c r="G542" s="3">
        <f>SUMIFS($S$2:$S$10,$R$2:$R$10,D542)</f>
        <v>20</v>
      </c>
      <c r="H542" s="3">
        <f>SUMIFS($S$2:$S$10,$R$2:$R$10,E542)</f>
        <v>10</v>
      </c>
      <c r="I542" s="3">
        <f>SUMIFS($S$2:$S$10,$R$2:$R$10,F542)</f>
        <v>4</v>
      </c>
      <c r="J542" s="3">
        <f>SUM(G542:I542)</f>
        <v>34</v>
      </c>
      <c r="K542" s="3">
        <f>SUMIFS($T$2:$T$10,$R$2:$R$10,E542)</f>
        <v>0.27</v>
      </c>
      <c r="L542" s="3">
        <f>SUMIFS($V$2:$V$10,$R$2:$R$10,F542)</f>
        <v>0.03</v>
      </c>
      <c r="M542" s="3">
        <f>SUMIFS($U$2:$U$10,$R$2:$R$10,D542)</f>
        <v>0.11</v>
      </c>
    </row>
    <row r="543" spans="1:13" x14ac:dyDescent="0.25">
      <c r="A543" s="3">
        <f>(A$2+A$2*M543+A$2*L543)*(1+K543)</f>
        <v>552.24</v>
      </c>
      <c r="B543" s="3">
        <f>(B$2+B$2*M543+B$2*L543)*(1+K543)</f>
        <v>642.33000000000004</v>
      </c>
      <c r="C543" s="3">
        <f>(C$2+C$2*M543+C$2*L543)*(1+K543)</f>
        <v>675.09</v>
      </c>
      <c r="D543" s="3">
        <v>8</v>
      </c>
      <c r="E543" s="3">
        <v>0</v>
      </c>
      <c r="F543" s="3">
        <v>4</v>
      </c>
      <c r="G543" s="3">
        <f>SUMIFS($S$2:$S$10,$R$2:$R$10,D543)</f>
        <v>27</v>
      </c>
      <c r="H543" s="3">
        <f>SUMIFS($S$2:$S$10,$R$2:$R$10,E543)</f>
        <v>0</v>
      </c>
      <c r="I543" s="3">
        <f>SUMIFS($S$2:$S$10,$R$2:$R$10,F543)</f>
        <v>7</v>
      </c>
      <c r="J543" s="3">
        <f>SUM(G543:I543)</f>
        <v>34</v>
      </c>
      <c r="K543" s="3">
        <f>SUMIFS($T$2:$T$10,$R$2:$R$10,E543)</f>
        <v>0</v>
      </c>
      <c r="L543" s="3">
        <f>SUMIFS($V$2:$V$10,$R$2:$R$10,F543)</f>
        <v>0.04</v>
      </c>
      <c r="M543" s="3">
        <f>SUMIFS($U$2:$U$10,$R$2:$R$10,D543)</f>
        <v>0.13</v>
      </c>
    </row>
    <row r="544" spans="1:13" x14ac:dyDescent="0.25">
      <c r="A544" s="3">
        <f>(A$2+A$2*M544+A$2*L544)*(1+K544)</f>
        <v>650.69920000000002</v>
      </c>
      <c r="B544" s="3">
        <f>(B$2+B$2*M544+B$2*L544)*(1+K544)</f>
        <v>756.85140000000001</v>
      </c>
      <c r="C544" s="3">
        <f>(C$2+C$2*M544+C$2*L544)*(1+K544)</f>
        <v>795.45219999999995</v>
      </c>
      <c r="D544" s="3">
        <v>8</v>
      </c>
      <c r="E544" s="3">
        <v>4</v>
      </c>
      <c r="F544" s="3">
        <v>0</v>
      </c>
      <c r="G544" s="3">
        <f>SUMIFS($S$2:$S$10,$R$2:$R$10,D544)</f>
        <v>27</v>
      </c>
      <c r="H544" s="3">
        <f>SUMIFS($S$2:$S$10,$R$2:$R$10,E544)</f>
        <v>7</v>
      </c>
      <c r="I544" s="3">
        <f>SUMIFS($S$2:$S$10,$R$2:$R$10,F544)</f>
        <v>0</v>
      </c>
      <c r="J544" s="3">
        <f>SUM(G544:I544)</f>
        <v>34</v>
      </c>
      <c r="K544" s="3">
        <f>SUMIFS($T$2:$T$10,$R$2:$R$10,E544)</f>
        <v>0.22</v>
      </c>
      <c r="L544" s="3">
        <f>SUMIFS($V$2:$V$10,$R$2:$R$10,F544)</f>
        <v>0</v>
      </c>
      <c r="M544" s="3">
        <f>SUMIFS($U$2:$U$10,$R$2:$R$10,D544)</f>
        <v>0.13</v>
      </c>
    </row>
    <row r="545" spans="1:13" x14ac:dyDescent="0.25">
      <c r="A545" s="3">
        <f>(A$2+A$2*M545+A$2*L545)*(1+K545)</f>
        <v>542.79999999999995</v>
      </c>
      <c r="B545" s="3">
        <f>(B$2+B$2*M545+B$2*L545)*(1+K545)</f>
        <v>631.35</v>
      </c>
      <c r="C545" s="3">
        <f>(C$2+C$2*M545+C$2*L545)*(1+K545)</f>
        <v>663.55</v>
      </c>
      <c r="D545" s="3">
        <v>9</v>
      </c>
      <c r="E545" s="3">
        <v>0</v>
      </c>
      <c r="F545" s="3">
        <v>0</v>
      </c>
      <c r="G545" s="3">
        <f>SUMIFS($S$2:$S$10,$R$2:$R$10,D545)</f>
        <v>34</v>
      </c>
      <c r="H545" s="3">
        <f>SUMIFS($S$2:$S$10,$R$2:$R$10,E545)</f>
        <v>0</v>
      </c>
      <c r="I545" s="3">
        <f>SUMIFS($S$2:$S$10,$R$2:$R$10,F545)</f>
        <v>0</v>
      </c>
      <c r="J545" s="3">
        <f>SUM(G545:I545)</f>
        <v>34</v>
      </c>
      <c r="K545" s="3">
        <f>SUMIFS($T$2:$T$10,$R$2:$R$10,E545)</f>
        <v>0</v>
      </c>
      <c r="L545" s="3">
        <f>SUMIFS($V$2:$V$10,$R$2:$R$10,F545)</f>
        <v>0</v>
      </c>
      <c r="M545" s="3">
        <f>SUMIFS($U$2:$U$10,$R$2:$R$10,D545)</f>
        <v>0.15</v>
      </c>
    </row>
    <row r="546" spans="1:13" x14ac:dyDescent="0.25">
      <c r="A546" s="2">
        <f>(A$2+A$2*K546+A$2*M546)*(1+L546)</f>
        <v>679.11360000000002</v>
      </c>
      <c r="B546" s="2">
        <f>(B$2+B$2*K546+B$2*M546)*(1+L546)</f>
        <v>789.90120000000013</v>
      </c>
      <c r="C546" s="2">
        <f>(C$2+C$2*K546+C$2*M546)*(1+L546)</f>
        <v>830.18759999999997</v>
      </c>
      <c r="D546" s="2">
        <v>6</v>
      </c>
      <c r="E546" s="2">
        <v>3</v>
      </c>
      <c r="F546" s="2">
        <v>6</v>
      </c>
      <c r="G546" s="2">
        <f>SUMIFS($S$2:$S$10,$R$2:$R$10,D546)</f>
        <v>15</v>
      </c>
      <c r="H546" s="2">
        <f>SUMIFS($S$2:$S$10,$R$2:$R$10,E546)</f>
        <v>4</v>
      </c>
      <c r="I546" s="2">
        <f>SUMIFS($S$2:$S$10,$R$2:$R$10,F546)</f>
        <v>15</v>
      </c>
      <c r="J546" s="2">
        <f>SUM(G546:I546)</f>
        <v>34</v>
      </c>
      <c r="K546" s="2">
        <f>SUMIFS($U$2:$U$10,$R$2:$R$10,E546)</f>
        <v>0.03</v>
      </c>
      <c r="L546" s="2">
        <f>SUMIFS($T$2:$T$10,$R$2:$R$10,F546)</f>
        <v>0.32</v>
      </c>
      <c r="M546" s="2">
        <f>SUMIFS($V$2:$V$10,$R$2:$R$10,D546)</f>
        <v>0.06</v>
      </c>
    </row>
    <row r="547" spans="1:13" x14ac:dyDescent="0.25">
      <c r="A547" s="2">
        <f>(A$2+A$2*K547+A$2*M547)*(1+L547)</f>
        <v>645.93200000000002</v>
      </c>
      <c r="B547" s="2">
        <f>(B$2+B$2*K547+B$2*M547)*(1+L547)</f>
        <v>751.30649999999991</v>
      </c>
      <c r="C547" s="2">
        <f>(C$2+C$2*K547+C$2*M547)*(1+L547)</f>
        <v>789.6244999999999</v>
      </c>
      <c r="D547" s="2">
        <v>6</v>
      </c>
      <c r="E547" s="2">
        <v>6</v>
      </c>
      <c r="F547" s="2">
        <v>3</v>
      </c>
      <c r="G547" s="2">
        <f>SUMIFS($S$2:$S$10,$R$2:$R$10,D547)</f>
        <v>15</v>
      </c>
      <c r="H547" s="2">
        <f>SUMIFS($S$2:$S$10,$R$2:$R$10,E547)</f>
        <v>15</v>
      </c>
      <c r="I547" s="2">
        <f>SUMIFS($S$2:$S$10,$R$2:$R$10,F547)</f>
        <v>4</v>
      </c>
      <c r="J547" s="2">
        <f>SUM(G547:I547)</f>
        <v>34</v>
      </c>
      <c r="K547" s="2">
        <f>SUMIFS($U$2:$U$10,$R$2:$R$10,E547)</f>
        <v>0.09</v>
      </c>
      <c r="L547" s="2">
        <f>SUMIFS($T$2:$T$10,$R$2:$R$10,F547)</f>
        <v>0.19</v>
      </c>
      <c r="M547" s="2">
        <f>SUMIFS($V$2:$V$10,$R$2:$R$10,D547)</f>
        <v>0.06</v>
      </c>
    </row>
    <row r="548" spans="1:13" x14ac:dyDescent="0.25">
      <c r="A548" s="2">
        <f>(A$2+A$2*K548+A$2*M548)*(1+L548)</f>
        <v>659.38400000000001</v>
      </c>
      <c r="B548" s="2">
        <f>(B$2+B$2*K548+B$2*M548)*(1+L548)</f>
        <v>766.95300000000009</v>
      </c>
      <c r="C548" s="2">
        <f>(C$2+C$2*K548+C$2*M548)*(1+L548)</f>
        <v>806.06899999999996</v>
      </c>
      <c r="D548" s="2">
        <v>7</v>
      </c>
      <c r="E548" s="2">
        <v>3</v>
      </c>
      <c r="F548" s="2">
        <v>5</v>
      </c>
      <c r="G548" s="2">
        <f>SUMIFS($S$2:$S$10,$R$2:$R$10,D548)</f>
        <v>20</v>
      </c>
      <c r="H548" s="2">
        <f>SUMIFS($S$2:$S$10,$R$2:$R$10,E548)</f>
        <v>4</v>
      </c>
      <c r="I548" s="2">
        <f>SUMIFS($S$2:$S$10,$R$2:$R$10,F548)</f>
        <v>10</v>
      </c>
      <c r="J548" s="2">
        <f>SUM(G548:I548)</f>
        <v>34</v>
      </c>
      <c r="K548" s="2">
        <f>SUMIFS($U$2:$U$10,$R$2:$R$10,E548)</f>
        <v>0.03</v>
      </c>
      <c r="L548" s="2">
        <f>SUMIFS($T$2:$T$10,$R$2:$R$10,F548)</f>
        <v>0.27</v>
      </c>
      <c r="M548" s="2">
        <f>SUMIFS($V$2:$V$10,$R$2:$R$10,D548)</f>
        <v>7.0000000000000007E-2</v>
      </c>
    </row>
    <row r="549" spans="1:13" x14ac:dyDescent="0.25">
      <c r="A549" s="2">
        <f>(A$2+A$2*K549+A$2*M549)*(1+L549)</f>
        <v>644.94079999999997</v>
      </c>
      <c r="B549" s="2">
        <f>(B$2+B$2*K549+B$2*M549)*(1+L549)</f>
        <v>750.1536000000001</v>
      </c>
      <c r="C549" s="2">
        <f>(C$2+C$2*K549+C$2*M549)*(1+L549)</f>
        <v>788.41279999999995</v>
      </c>
      <c r="D549" s="2">
        <v>7</v>
      </c>
      <c r="E549" s="2">
        <v>4</v>
      </c>
      <c r="F549" s="2">
        <v>4</v>
      </c>
      <c r="G549" s="2">
        <f>SUMIFS($S$2:$S$10,$R$2:$R$10,D549)</f>
        <v>20</v>
      </c>
      <c r="H549" s="2">
        <f>SUMIFS($S$2:$S$10,$R$2:$R$10,E549)</f>
        <v>7</v>
      </c>
      <c r="I549" s="2">
        <f>SUMIFS($S$2:$S$10,$R$2:$R$10,F549)</f>
        <v>7</v>
      </c>
      <c r="J549" s="2">
        <f>SUM(G549:I549)</f>
        <v>34</v>
      </c>
      <c r="K549" s="2">
        <f>SUMIFS($U$2:$U$10,$R$2:$R$10,E549)</f>
        <v>0.05</v>
      </c>
      <c r="L549" s="2">
        <f>SUMIFS($T$2:$T$10,$R$2:$R$10,F549)</f>
        <v>0.22</v>
      </c>
      <c r="M549" s="2">
        <f>SUMIFS($V$2:$V$10,$R$2:$R$10,D549)</f>
        <v>7.0000000000000007E-2</v>
      </c>
    </row>
    <row r="550" spans="1:13" x14ac:dyDescent="0.25">
      <c r="A550" s="2">
        <f>(A$2+A$2*K550+A$2*M550)*(1+L550)</f>
        <v>640.3152</v>
      </c>
      <c r="B550" s="2">
        <f>(B$2+B$2*K550+B$2*M550)*(1+L550)</f>
        <v>744.77340000000015</v>
      </c>
      <c r="C550" s="2">
        <f>(C$2+C$2*K550+C$2*M550)*(1+L550)</f>
        <v>782.75819999999999</v>
      </c>
      <c r="D550" s="2">
        <v>7</v>
      </c>
      <c r="E550" s="2">
        <v>5</v>
      </c>
      <c r="F550" s="2">
        <v>3</v>
      </c>
      <c r="G550" s="2">
        <f>SUMIFS($S$2:$S$10,$R$2:$R$10,D550)</f>
        <v>20</v>
      </c>
      <c r="H550" s="2">
        <f>SUMIFS($S$2:$S$10,$R$2:$R$10,E550)</f>
        <v>10</v>
      </c>
      <c r="I550" s="2">
        <f>SUMIFS($S$2:$S$10,$R$2:$R$10,F550)</f>
        <v>4</v>
      </c>
      <c r="J550" s="2">
        <f>SUM(G550:I550)</f>
        <v>34</v>
      </c>
      <c r="K550" s="2">
        <f>SUMIFS($U$2:$U$10,$R$2:$R$10,E550)</f>
        <v>7.0000000000000007E-2</v>
      </c>
      <c r="L550" s="2">
        <f>SUMIFS($T$2:$T$10,$R$2:$R$10,F550)</f>
        <v>0.19</v>
      </c>
      <c r="M550" s="2">
        <f>SUMIFS($V$2:$V$10,$R$2:$R$10,D550)</f>
        <v>7.0000000000000007E-2</v>
      </c>
    </row>
    <row r="551" spans="1:13" x14ac:dyDescent="0.25">
      <c r="A551" s="2">
        <f>(A$2+A$2*K551+A$2*M551)*(1+L551)</f>
        <v>621.90719999999999</v>
      </c>
      <c r="B551" s="2">
        <f>(B$2+B$2*K551+B$2*M551)*(1+L551)</f>
        <v>723.36239999999998</v>
      </c>
      <c r="C551" s="2">
        <f>(C$2+C$2*K551+C$2*M551)*(1+L551)</f>
        <v>760.25519999999995</v>
      </c>
      <c r="D551" s="2">
        <v>8</v>
      </c>
      <c r="E551" s="2">
        <v>0</v>
      </c>
      <c r="F551" s="2">
        <v>4</v>
      </c>
      <c r="G551" s="2">
        <f>SUMIFS($S$2:$S$10,$R$2:$R$10,D551)</f>
        <v>27</v>
      </c>
      <c r="H551" s="2">
        <f>SUMIFS($S$2:$S$10,$R$2:$R$10,E551)</f>
        <v>0</v>
      </c>
      <c r="I551" s="2">
        <f>SUMIFS($S$2:$S$10,$R$2:$R$10,F551)</f>
        <v>7</v>
      </c>
      <c r="J551" s="2">
        <f>SUM(G551:I551)</f>
        <v>34</v>
      </c>
      <c r="K551" s="2">
        <f>SUMIFS($U$2:$U$10,$R$2:$R$10,E551)</f>
        <v>0</v>
      </c>
      <c r="L551" s="2">
        <f>SUMIFS($T$2:$T$10,$R$2:$R$10,F551)</f>
        <v>0.22</v>
      </c>
      <c r="M551" s="2">
        <f>SUMIFS($V$2:$V$10,$R$2:$R$10,D551)</f>
        <v>0.08</v>
      </c>
    </row>
    <row r="552" spans="1:13" x14ac:dyDescent="0.25">
      <c r="A552" s="2">
        <f>(A$2+A$2*K552+A$2*M552)*(1+L552)</f>
        <v>533.36</v>
      </c>
      <c r="B552" s="2">
        <f>(B$2+B$2*K552+B$2*M552)*(1+L552)</f>
        <v>620.37</v>
      </c>
      <c r="C552" s="2">
        <f>(C$2+C$2*K552+C$2*M552)*(1+L552)</f>
        <v>652.01</v>
      </c>
      <c r="D552" s="2">
        <v>8</v>
      </c>
      <c r="E552" s="2">
        <v>4</v>
      </c>
      <c r="F552" s="2">
        <v>0</v>
      </c>
      <c r="G552" s="2">
        <f>SUMIFS($S$2:$S$10,$R$2:$R$10,D552)</f>
        <v>27</v>
      </c>
      <c r="H552" s="2">
        <f>SUMIFS($S$2:$S$10,$R$2:$R$10,E552)</f>
        <v>7</v>
      </c>
      <c r="I552" s="2">
        <f>SUMIFS($S$2:$S$10,$R$2:$R$10,F552)</f>
        <v>0</v>
      </c>
      <c r="J552" s="2">
        <f>SUM(G552:I552)</f>
        <v>34</v>
      </c>
      <c r="K552" s="2">
        <f>SUMIFS($U$2:$U$10,$R$2:$R$10,E552)</f>
        <v>0.05</v>
      </c>
      <c r="L552" s="2">
        <f>SUMIFS($T$2:$T$10,$R$2:$R$10,F552)</f>
        <v>0</v>
      </c>
      <c r="M552" s="2">
        <f>SUMIFS($V$2:$V$10,$R$2:$R$10,D552)</f>
        <v>0.08</v>
      </c>
    </row>
    <row r="553" spans="1:13" x14ac:dyDescent="0.25">
      <c r="A553" s="2">
        <f>(A$2+A$2*K553+A$2*M553)*(1+L553)</f>
        <v>514.48</v>
      </c>
      <c r="B553" s="2">
        <f>(B$2+B$2*K553+B$2*M553)*(1+L553)</f>
        <v>598.41</v>
      </c>
      <c r="C553" s="2">
        <f>(C$2+C$2*K553+C$2*M553)*(1+L553)</f>
        <v>628.92999999999995</v>
      </c>
      <c r="D553" s="2">
        <v>9</v>
      </c>
      <c r="E553" s="2">
        <v>0</v>
      </c>
      <c r="F553" s="2">
        <v>0</v>
      </c>
      <c r="G553" s="2">
        <f>SUMIFS($S$2:$S$10,$R$2:$R$10,D553)</f>
        <v>34</v>
      </c>
      <c r="H553" s="2">
        <f>SUMIFS($S$2:$S$10,$R$2:$R$10,E553)</f>
        <v>0</v>
      </c>
      <c r="I553" s="2">
        <f>SUMIFS($S$2:$S$10,$R$2:$R$10,F553)</f>
        <v>0</v>
      </c>
      <c r="J553" s="2">
        <f>SUM(G553:I553)</f>
        <v>34</v>
      </c>
      <c r="K553" s="2">
        <f>SUMIFS($U$2:$U$10,$R$2:$R$10,E553)</f>
        <v>0</v>
      </c>
      <c r="L553" s="2">
        <f>SUMIFS($T$2:$T$10,$R$2:$R$10,F553)</f>
        <v>0</v>
      </c>
      <c r="M553" s="2">
        <f>SUMIFS($V$2:$V$10,$R$2:$R$10,D553)</f>
        <v>0.09</v>
      </c>
    </row>
    <row r="554" spans="1:13" x14ac:dyDescent="0.25">
      <c r="A554" s="1">
        <f>(A$2+A$2*K554+A$2*L554)*(1+M554)</f>
        <v>697.8048</v>
      </c>
      <c r="B554" s="1">
        <f>(B$2+B$2*K554+B$2*L554)*(1+M554)</f>
        <v>811.64160000000015</v>
      </c>
      <c r="C554" s="1">
        <f>(C$2+C$2*K554+C$2*L554)*(1+M554)</f>
        <v>853.03680000000008</v>
      </c>
      <c r="D554" s="1">
        <v>6</v>
      </c>
      <c r="E554" s="1">
        <v>5</v>
      </c>
      <c r="F554" s="1">
        <v>5</v>
      </c>
      <c r="G554" s="1">
        <f>SUMIFS($S$2:$S$10,$R$2:$R$10,D554)</f>
        <v>15</v>
      </c>
      <c r="H554" s="1">
        <f>SUMIFS($S$2:$S$10,$R$2:$R$10,E554)</f>
        <v>10</v>
      </c>
      <c r="I554" s="1">
        <f>SUMIFS($S$2:$S$10,$R$2:$R$10,F554)</f>
        <v>10</v>
      </c>
      <c r="J554" s="1">
        <f>SUM(G554:I554)</f>
        <v>35</v>
      </c>
      <c r="K554" s="1">
        <f>SUMIFS($U$2:$U$10,$R$2:$R$10,E554)</f>
        <v>7.0000000000000007E-2</v>
      </c>
      <c r="L554" s="1">
        <f>SUMIFS($V$2:$V$10,$R$2:$R$10,F554)</f>
        <v>0.05</v>
      </c>
      <c r="M554" s="1">
        <f>SUMIFS($T$2:$T$10,$R$2:$R$10,D554)</f>
        <v>0.32</v>
      </c>
    </row>
    <row r="555" spans="1:13" x14ac:dyDescent="0.25">
      <c r="A555" s="1">
        <f>(A$2+A$2*K555+A$2*L555)*(1+M555)</f>
        <v>685.4384</v>
      </c>
      <c r="B555" s="1">
        <f>(B$2+B$2*K555+B$2*L555)*(1+M555)</f>
        <v>797.25780000000009</v>
      </c>
      <c r="C555" s="1">
        <f>(C$2+C$2*K555+C$2*L555)*(1+M555)</f>
        <v>837.91940000000011</v>
      </c>
      <c r="D555" s="1">
        <v>7</v>
      </c>
      <c r="E555" s="1">
        <v>0</v>
      </c>
      <c r="F555" s="1">
        <v>6</v>
      </c>
      <c r="G555" s="1">
        <f>SUMIFS($S$2:$S$10,$R$2:$R$10,D555)</f>
        <v>20</v>
      </c>
      <c r="H555" s="1">
        <f>SUMIFS($S$2:$S$10,$R$2:$R$10,E555)</f>
        <v>0</v>
      </c>
      <c r="I555" s="1">
        <f>SUMIFS($S$2:$S$10,$R$2:$R$10,F555)</f>
        <v>15</v>
      </c>
      <c r="J555" s="1">
        <f>SUM(G555:I555)</f>
        <v>35</v>
      </c>
      <c r="K555" s="1">
        <f>SUMIFS($U$2:$U$10,$R$2:$R$10,E555)</f>
        <v>0</v>
      </c>
      <c r="L555" s="1">
        <f>SUMIFS($V$2:$V$10,$R$2:$R$10,F555)</f>
        <v>0.06</v>
      </c>
      <c r="M555" s="1">
        <f>SUMIFS($T$2:$T$10,$R$2:$R$10,D555)</f>
        <v>0.37</v>
      </c>
    </row>
    <row r="556" spans="1:13" x14ac:dyDescent="0.25">
      <c r="A556" s="1">
        <f>(A$2+A$2*K556+A$2*L556)*(1+M556)</f>
        <v>704.83760000000007</v>
      </c>
      <c r="B556" s="1">
        <f>(B$2+B$2*K556+B$2*L556)*(1+M556)</f>
        <v>819.82169999999996</v>
      </c>
      <c r="C556" s="1">
        <f>(C$2+C$2*K556+C$2*L556)*(1+M556)</f>
        <v>861.63409999999999</v>
      </c>
      <c r="D556" s="1">
        <v>7</v>
      </c>
      <c r="E556" s="1">
        <v>6</v>
      </c>
      <c r="F556" s="1">
        <v>0</v>
      </c>
      <c r="G556" s="1">
        <f>SUMIFS($S$2:$S$10,$R$2:$R$10,D556)</f>
        <v>20</v>
      </c>
      <c r="H556" s="1">
        <f>SUMIFS($S$2:$S$10,$R$2:$R$10,E556)</f>
        <v>15</v>
      </c>
      <c r="I556" s="1">
        <f>SUMIFS($S$2:$S$10,$R$2:$R$10,F556)</f>
        <v>0</v>
      </c>
      <c r="J556" s="1">
        <f>SUM(G556:I556)</f>
        <v>35</v>
      </c>
      <c r="K556" s="1">
        <f>SUMIFS($U$2:$U$10,$R$2:$R$10,E556)</f>
        <v>0.09</v>
      </c>
      <c r="L556" s="1">
        <f>SUMIFS($V$2:$V$10,$R$2:$R$10,F556)</f>
        <v>0</v>
      </c>
      <c r="M556" s="1">
        <f>SUMIFS($T$2:$T$10,$R$2:$R$10,D556)</f>
        <v>0.37</v>
      </c>
    </row>
    <row r="557" spans="1:13" x14ac:dyDescent="0.25">
      <c r="A557" s="1">
        <f>(A$2+A$2*K557+A$2*L557)*(1+M557)</f>
        <v>708.70799999999997</v>
      </c>
      <c r="B557" s="1">
        <f>(B$2+B$2*K557+B$2*L557)*(1+M557)</f>
        <v>824.32350000000008</v>
      </c>
      <c r="C557" s="1">
        <f>(C$2+C$2*K557+C$2*L557)*(1+M557)</f>
        <v>866.3655</v>
      </c>
      <c r="D557" s="1">
        <v>8</v>
      </c>
      <c r="E557" s="1">
        <v>1</v>
      </c>
      <c r="F557" s="1">
        <v>4</v>
      </c>
      <c r="G557" s="1">
        <f>SUMIFS($S$2:$S$10,$R$2:$R$10,D557)</f>
        <v>27</v>
      </c>
      <c r="H557" s="1">
        <f>SUMIFS($S$2:$S$10,$R$2:$R$10,E557)</f>
        <v>1</v>
      </c>
      <c r="I557" s="1">
        <f>SUMIFS($S$2:$S$10,$R$2:$R$10,F557)</f>
        <v>7</v>
      </c>
      <c r="J557" s="1">
        <f>SUM(G557:I557)</f>
        <v>35</v>
      </c>
      <c r="K557" s="1">
        <f>SUMIFS($U$2:$U$10,$R$2:$R$10,E557)</f>
        <v>0.01</v>
      </c>
      <c r="L557" s="1">
        <f>SUMIFS($V$2:$V$10,$R$2:$R$10,F557)</f>
        <v>0.04</v>
      </c>
      <c r="M557" s="1">
        <f>SUMIFS($T$2:$T$10,$R$2:$R$10,D557)</f>
        <v>0.43</v>
      </c>
    </row>
    <row r="558" spans="1:13" x14ac:dyDescent="0.25">
      <c r="A558" s="1">
        <f>(A$2+A$2*K558+A$2*L558)*(1+M558)</f>
        <v>715.45760000000007</v>
      </c>
      <c r="B558" s="1">
        <f>(B$2+B$2*K558+B$2*L558)*(1+M558)</f>
        <v>832.17420000000004</v>
      </c>
      <c r="C558" s="1">
        <f>(C$2+C$2*K558+C$2*L558)*(1+M558)</f>
        <v>874.61659999999983</v>
      </c>
      <c r="D558" s="1">
        <v>8</v>
      </c>
      <c r="E558" s="1">
        <v>3</v>
      </c>
      <c r="F558" s="1">
        <v>3</v>
      </c>
      <c r="G558" s="1">
        <f>SUMIFS($S$2:$S$10,$R$2:$R$10,D558)</f>
        <v>27</v>
      </c>
      <c r="H558" s="1">
        <f>SUMIFS($S$2:$S$10,$R$2:$R$10,E558)</f>
        <v>4</v>
      </c>
      <c r="I558" s="1">
        <f>SUMIFS($S$2:$S$10,$R$2:$R$10,F558)</f>
        <v>4</v>
      </c>
      <c r="J558" s="1">
        <f>SUM(G558:I558)</f>
        <v>35</v>
      </c>
      <c r="K558" s="1">
        <f>SUMIFS($U$2:$U$10,$R$2:$R$10,E558)</f>
        <v>0.03</v>
      </c>
      <c r="L558" s="1">
        <f>SUMIFS($V$2:$V$10,$R$2:$R$10,F558)</f>
        <v>0.03</v>
      </c>
      <c r="M558" s="1">
        <f>SUMIFS($T$2:$T$10,$R$2:$R$10,D558)</f>
        <v>0.43</v>
      </c>
    </row>
    <row r="559" spans="1:13" x14ac:dyDescent="0.25">
      <c r="A559" s="1">
        <f>(A$2+A$2*K559+A$2*L559)*(1+M559)</f>
        <v>715.45760000000007</v>
      </c>
      <c r="B559" s="1">
        <f>(B$2+B$2*K559+B$2*L559)*(1+M559)</f>
        <v>832.17420000000004</v>
      </c>
      <c r="C559" s="1">
        <f>(C$2+C$2*K559+C$2*L559)*(1+M559)</f>
        <v>874.61659999999995</v>
      </c>
      <c r="D559" s="1">
        <v>8</v>
      </c>
      <c r="E559" s="1">
        <v>4</v>
      </c>
      <c r="F559" s="1">
        <v>1</v>
      </c>
      <c r="G559" s="1">
        <f>SUMIFS($S$2:$S$10,$R$2:$R$10,D559)</f>
        <v>27</v>
      </c>
      <c r="H559" s="1">
        <f>SUMIFS($S$2:$S$10,$R$2:$R$10,E559)</f>
        <v>7</v>
      </c>
      <c r="I559" s="1">
        <f>SUMIFS($S$2:$S$10,$R$2:$R$10,F559)</f>
        <v>1</v>
      </c>
      <c r="J559" s="1">
        <f>SUM(G559:I559)</f>
        <v>35</v>
      </c>
      <c r="K559" s="1">
        <f>SUMIFS($U$2:$U$10,$R$2:$R$10,E559)</f>
        <v>0.05</v>
      </c>
      <c r="L559" s="1">
        <f>SUMIFS($V$2:$V$10,$R$2:$R$10,F559)</f>
        <v>0.01</v>
      </c>
      <c r="M559" s="1">
        <f>SUMIFS($T$2:$T$10,$R$2:$R$10,D559)</f>
        <v>0.43</v>
      </c>
    </row>
    <row r="560" spans="1:13" x14ac:dyDescent="0.25">
      <c r="A560" s="1">
        <f>(A$2+A$2*K560+A$2*L560)*(1+M560)</f>
        <v>710.31280000000004</v>
      </c>
      <c r="B560" s="1">
        <f>(B$2+B$2*K560+B$2*L560)*(1+M560)</f>
        <v>826.19010000000003</v>
      </c>
      <c r="C560" s="1">
        <f>(C$2+C$2*K560+C$2*L560)*(1+M560)</f>
        <v>868.32729999999992</v>
      </c>
      <c r="D560" s="1">
        <v>9</v>
      </c>
      <c r="E560" s="1">
        <v>0</v>
      </c>
      <c r="F560" s="1">
        <v>1</v>
      </c>
      <c r="G560" s="1">
        <f>SUMIFS($S$2:$S$10,$R$2:$R$10,D560)</f>
        <v>34</v>
      </c>
      <c r="H560" s="1">
        <f>SUMIFS($S$2:$S$10,$R$2:$R$10,E560)</f>
        <v>0</v>
      </c>
      <c r="I560" s="1">
        <f>SUMIFS($S$2:$S$10,$R$2:$R$10,F560)</f>
        <v>1</v>
      </c>
      <c r="J560" s="1">
        <f>SUM(G560:I560)</f>
        <v>35</v>
      </c>
      <c r="K560" s="1">
        <f>SUMIFS($U$2:$U$10,$R$2:$R$10,E560)</f>
        <v>0</v>
      </c>
      <c r="L560" s="1">
        <f>SUMIFS($V$2:$V$10,$R$2:$R$10,F560)</f>
        <v>0.01</v>
      </c>
      <c r="M560" s="1">
        <f>SUMIFS($T$2:$T$10,$R$2:$R$10,D560)</f>
        <v>0.49</v>
      </c>
    </row>
    <row r="561" spans="1:13" x14ac:dyDescent="0.25">
      <c r="A561" s="1">
        <f>(A$2+A$2*K561+A$2*L561)*(1+M561)</f>
        <v>710.31280000000004</v>
      </c>
      <c r="B561" s="1">
        <f>(B$2+B$2*K561+B$2*L561)*(1+M561)</f>
        <v>826.19010000000003</v>
      </c>
      <c r="C561" s="1">
        <f>(C$2+C$2*K561+C$2*L561)*(1+M561)</f>
        <v>868.32729999999992</v>
      </c>
      <c r="D561" s="1">
        <v>9</v>
      </c>
      <c r="E561" s="1">
        <v>1</v>
      </c>
      <c r="F561" s="1">
        <v>0</v>
      </c>
      <c r="G561" s="1">
        <f>SUMIFS($S$2:$S$10,$R$2:$R$10,D561)</f>
        <v>34</v>
      </c>
      <c r="H561" s="1">
        <f>SUMIFS($S$2:$S$10,$R$2:$R$10,E561)</f>
        <v>1</v>
      </c>
      <c r="I561" s="1">
        <f>SUMIFS($S$2:$S$10,$R$2:$R$10,F561)</f>
        <v>0</v>
      </c>
      <c r="J561" s="1">
        <f>SUM(G561:I561)</f>
        <v>35</v>
      </c>
      <c r="K561" s="1">
        <f>SUMIFS($U$2:$U$10,$R$2:$R$10,E561)</f>
        <v>0.01</v>
      </c>
      <c r="L561" s="1">
        <f>SUMIFS($V$2:$V$10,$R$2:$R$10,F561)</f>
        <v>0</v>
      </c>
      <c r="M561" s="1">
        <f>SUMIFS($T$2:$T$10,$R$2:$R$10,D561)</f>
        <v>0.49</v>
      </c>
    </row>
    <row r="562" spans="1:13" x14ac:dyDescent="0.25">
      <c r="A562" s="3">
        <f>(A$2+A$2*M562+A$2*L562)*(1+K562)</f>
        <v>683.36160000000007</v>
      </c>
      <c r="B562" s="3">
        <f>(B$2+B$2*M562+B$2*L562)*(1+K562)</f>
        <v>794.84220000000005</v>
      </c>
      <c r="C562" s="3">
        <f>(C$2+C$2*M562+C$2*L562)*(1+K562)</f>
        <v>835.38059999999996</v>
      </c>
      <c r="D562" s="3">
        <v>6</v>
      </c>
      <c r="E562" s="3">
        <v>5</v>
      </c>
      <c r="F562" s="3">
        <v>5</v>
      </c>
      <c r="G562" s="3">
        <f>SUMIFS($S$2:$S$10,$R$2:$R$10,D562)</f>
        <v>15</v>
      </c>
      <c r="H562" s="3">
        <f>SUMIFS($S$2:$S$10,$R$2:$R$10,E562)</f>
        <v>10</v>
      </c>
      <c r="I562" s="3">
        <f>SUMIFS($S$2:$S$10,$R$2:$R$10,F562)</f>
        <v>10</v>
      </c>
      <c r="J562" s="3">
        <f>SUM(G562:I562)</f>
        <v>35</v>
      </c>
      <c r="K562" s="3">
        <f>SUMIFS($T$2:$T$10,$R$2:$R$10,E562)</f>
        <v>0.27</v>
      </c>
      <c r="L562" s="3">
        <f>SUMIFS($V$2:$V$10,$R$2:$R$10,F562)</f>
        <v>0.05</v>
      </c>
      <c r="M562" s="3">
        <f>SUMIFS($U$2:$U$10,$R$2:$R$10,D562)</f>
        <v>0.09</v>
      </c>
    </row>
    <row r="563" spans="1:13" x14ac:dyDescent="0.25">
      <c r="A563" s="3">
        <f>(A$2+A$2*M563+A$2*L563)*(1+K563)</f>
        <v>552.24</v>
      </c>
      <c r="B563" s="3">
        <f>(B$2+B$2*M563+B$2*L563)*(1+K563)</f>
        <v>642.32999999999993</v>
      </c>
      <c r="C563" s="3">
        <f>(C$2+C$2*M563+C$2*L563)*(1+K563)</f>
        <v>675.09</v>
      </c>
      <c r="D563" s="3">
        <v>7</v>
      </c>
      <c r="E563" s="3">
        <v>0</v>
      </c>
      <c r="F563" s="3">
        <v>6</v>
      </c>
      <c r="G563" s="3">
        <f>SUMIFS($S$2:$S$10,$R$2:$R$10,D563)</f>
        <v>20</v>
      </c>
      <c r="H563" s="3">
        <f>SUMIFS($S$2:$S$10,$R$2:$R$10,E563)</f>
        <v>0</v>
      </c>
      <c r="I563" s="3">
        <f>SUMIFS($S$2:$S$10,$R$2:$R$10,F563)</f>
        <v>15</v>
      </c>
      <c r="J563" s="3">
        <f>SUM(G563:I563)</f>
        <v>35</v>
      </c>
      <c r="K563" s="3">
        <f>SUMIFS($T$2:$T$10,$R$2:$R$10,E563)</f>
        <v>0</v>
      </c>
      <c r="L563" s="3">
        <f>SUMIFS($V$2:$V$10,$R$2:$R$10,F563)</f>
        <v>0.06</v>
      </c>
      <c r="M563" s="3">
        <f>SUMIFS($U$2:$U$10,$R$2:$R$10,D563)</f>
        <v>0.11</v>
      </c>
    </row>
    <row r="564" spans="1:13" x14ac:dyDescent="0.25">
      <c r="A564" s="3">
        <f>(A$2+A$2*M564+A$2*L564)*(1+K564)</f>
        <v>691.57439999999997</v>
      </c>
      <c r="B564" s="3">
        <f>(B$2+B$2*M564+B$2*L564)*(1+K564)</f>
        <v>804.39480000000003</v>
      </c>
      <c r="C564" s="3">
        <f>(C$2+C$2*M564+C$2*L564)*(1+K564)</f>
        <v>845.42040000000009</v>
      </c>
      <c r="D564" s="3">
        <v>7</v>
      </c>
      <c r="E564" s="3">
        <v>6</v>
      </c>
      <c r="F564" s="3">
        <v>0</v>
      </c>
      <c r="G564" s="3">
        <f>SUMIFS($S$2:$S$10,$R$2:$R$10,D564)</f>
        <v>20</v>
      </c>
      <c r="H564" s="3">
        <f>SUMIFS($S$2:$S$10,$R$2:$R$10,E564)</f>
        <v>15</v>
      </c>
      <c r="I564" s="3">
        <f>SUMIFS($S$2:$S$10,$R$2:$R$10,F564)</f>
        <v>0</v>
      </c>
      <c r="J564" s="3">
        <f>SUM(G564:I564)</f>
        <v>35</v>
      </c>
      <c r="K564" s="3">
        <f>SUMIFS($T$2:$T$10,$R$2:$R$10,E564)</f>
        <v>0.32</v>
      </c>
      <c r="L564" s="3">
        <f>SUMIFS($V$2:$V$10,$R$2:$R$10,F564)</f>
        <v>0</v>
      </c>
      <c r="M564" s="3">
        <f>SUMIFS($U$2:$U$10,$R$2:$R$10,D564)</f>
        <v>0.11</v>
      </c>
    </row>
    <row r="565" spans="1:13" x14ac:dyDescent="0.25">
      <c r="A565" s="3">
        <f>(A$2+A$2*M565+A$2*L565)*(1+K565)</f>
        <v>624.0311999999999</v>
      </c>
      <c r="B565" s="3">
        <f>(B$2+B$2*M565+B$2*L565)*(1+K565)</f>
        <v>725.8329</v>
      </c>
      <c r="C565" s="3">
        <f>(C$2+C$2*M565+C$2*L565)*(1+K565)</f>
        <v>762.85169999999994</v>
      </c>
      <c r="D565" s="3">
        <v>8</v>
      </c>
      <c r="E565" s="3">
        <v>1</v>
      </c>
      <c r="F565" s="3">
        <v>4</v>
      </c>
      <c r="G565" s="3">
        <f>SUMIFS($S$2:$S$10,$R$2:$R$10,D565)</f>
        <v>27</v>
      </c>
      <c r="H565" s="3">
        <f>SUMIFS($S$2:$S$10,$R$2:$R$10,E565)</f>
        <v>1</v>
      </c>
      <c r="I565" s="3">
        <f>SUMIFS($S$2:$S$10,$R$2:$R$10,F565)</f>
        <v>7</v>
      </c>
      <c r="J565" s="3">
        <f>SUM(G565:I565)</f>
        <v>35</v>
      </c>
      <c r="K565" s="3">
        <f>SUMIFS($T$2:$T$10,$R$2:$R$10,E565)</f>
        <v>0.13</v>
      </c>
      <c r="L565" s="3">
        <f>SUMIFS($V$2:$V$10,$R$2:$R$10,F565)</f>
        <v>0.04</v>
      </c>
      <c r="M565" s="3">
        <f>SUMIFS($U$2:$U$10,$R$2:$R$10,D565)</f>
        <v>0.13</v>
      </c>
    </row>
    <row r="566" spans="1:13" x14ac:dyDescent="0.25">
      <c r="A566" s="3">
        <f>(A$2+A$2*M566+A$2*L566)*(1+K566)</f>
        <v>651.54879999999991</v>
      </c>
      <c r="B566" s="3">
        <f>(B$2+B$2*M566+B$2*L566)*(1+K566)</f>
        <v>757.83960000000002</v>
      </c>
      <c r="C566" s="3">
        <f>(C$2+C$2*M566+C$2*L566)*(1+K566)</f>
        <v>796.49079999999992</v>
      </c>
      <c r="D566" s="3">
        <v>8</v>
      </c>
      <c r="E566" s="3">
        <v>3</v>
      </c>
      <c r="F566" s="3">
        <v>3</v>
      </c>
      <c r="G566" s="3">
        <f>SUMIFS($S$2:$S$10,$R$2:$R$10,D566)</f>
        <v>27</v>
      </c>
      <c r="H566" s="3">
        <f>SUMIFS($S$2:$S$10,$R$2:$R$10,E566)</f>
        <v>4</v>
      </c>
      <c r="I566" s="3">
        <f>SUMIFS($S$2:$S$10,$R$2:$R$10,F566)</f>
        <v>4</v>
      </c>
      <c r="J566" s="3">
        <f>SUM(G566:I566)</f>
        <v>35</v>
      </c>
      <c r="K566" s="3">
        <f>SUMIFS($T$2:$T$10,$R$2:$R$10,E566)</f>
        <v>0.19</v>
      </c>
      <c r="L566" s="3">
        <f>SUMIFS($V$2:$V$10,$R$2:$R$10,F566)</f>
        <v>0.03</v>
      </c>
      <c r="M566" s="3">
        <f>SUMIFS($U$2:$U$10,$R$2:$R$10,D566)</f>
        <v>0.13</v>
      </c>
    </row>
    <row r="567" spans="1:13" x14ac:dyDescent="0.25">
      <c r="A567" s="3">
        <f>(A$2+A$2*M567+A$2*L567)*(1+K567)</f>
        <v>656.45760000000007</v>
      </c>
      <c r="B567" s="3">
        <f>(B$2+B$2*M567+B$2*L567)*(1+K567)</f>
        <v>763.54920000000004</v>
      </c>
      <c r="C567" s="3">
        <f>(C$2+C$2*M567+C$2*L567)*(1+K567)</f>
        <v>802.49159999999995</v>
      </c>
      <c r="D567" s="3">
        <v>8</v>
      </c>
      <c r="E567" s="3">
        <v>4</v>
      </c>
      <c r="F567" s="3">
        <v>1</v>
      </c>
      <c r="G567" s="3">
        <f>SUMIFS($S$2:$S$10,$R$2:$R$10,D567)</f>
        <v>27</v>
      </c>
      <c r="H567" s="3">
        <f>SUMIFS($S$2:$S$10,$R$2:$R$10,E567)</f>
        <v>7</v>
      </c>
      <c r="I567" s="3">
        <f>SUMIFS($S$2:$S$10,$R$2:$R$10,F567)</f>
        <v>1</v>
      </c>
      <c r="J567" s="3">
        <f>SUM(G567:I567)</f>
        <v>35</v>
      </c>
      <c r="K567" s="3">
        <f>SUMIFS($T$2:$T$10,$R$2:$R$10,E567)</f>
        <v>0.22</v>
      </c>
      <c r="L567" s="3">
        <f>SUMIFS($V$2:$V$10,$R$2:$R$10,F567)</f>
        <v>0.01</v>
      </c>
      <c r="M567" s="3">
        <f>SUMIFS($U$2:$U$10,$R$2:$R$10,D567)</f>
        <v>0.13</v>
      </c>
    </row>
    <row r="568" spans="1:13" x14ac:dyDescent="0.25">
      <c r="A568" s="3">
        <f>(A$2+A$2*M568+A$2*L568)*(1+K568)</f>
        <v>547.52</v>
      </c>
      <c r="B568" s="3">
        <f>(B$2+B$2*M568+B$2*L568)*(1+K568)</f>
        <v>636.84</v>
      </c>
      <c r="C568" s="3">
        <f>(C$2+C$2*M568+C$2*L568)*(1+K568)</f>
        <v>669.31999999999994</v>
      </c>
      <c r="D568" s="3">
        <v>9</v>
      </c>
      <c r="E568" s="3">
        <v>0</v>
      </c>
      <c r="F568" s="3">
        <v>1</v>
      </c>
      <c r="G568" s="3">
        <f>SUMIFS($S$2:$S$10,$R$2:$R$10,D568)</f>
        <v>34</v>
      </c>
      <c r="H568" s="3">
        <f>SUMIFS($S$2:$S$10,$R$2:$R$10,E568)</f>
        <v>0</v>
      </c>
      <c r="I568" s="3">
        <f>SUMIFS($S$2:$S$10,$R$2:$R$10,F568)</f>
        <v>1</v>
      </c>
      <c r="J568" s="3">
        <f>SUM(G568:I568)</f>
        <v>35</v>
      </c>
      <c r="K568" s="3">
        <f>SUMIFS($T$2:$T$10,$R$2:$R$10,E568)</f>
        <v>0</v>
      </c>
      <c r="L568" s="3">
        <f>SUMIFS($V$2:$V$10,$R$2:$R$10,F568)</f>
        <v>0.01</v>
      </c>
      <c r="M568" s="3">
        <f>SUMIFS($U$2:$U$10,$R$2:$R$10,D568)</f>
        <v>0.15</v>
      </c>
    </row>
    <row r="569" spans="1:13" x14ac:dyDescent="0.25">
      <c r="A569" s="3">
        <f>(A$2+A$2*M569+A$2*L569)*(1+K569)</f>
        <v>613.36399999999992</v>
      </c>
      <c r="B569" s="3">
        <f>(B$2+B$2*M569+B$2*L569)*(1+K569)</f>
        <v>713.42549999999994</v>
      </c>
      <c r="C569" s="3">
        <f>(C$2+C$2*M569+C$2*L569)*(1+K569)</f>
        <v>749.81149999999991</v>
      </c>
      <c r="D569" s="3">
        <v>9</v>
      </c>
      <c r="E569" s="3">
        <v>1</v>
      </c>
      <c r="F569" s="3">
        <v>0</v>
      </c>
      <c r="G569" s="3">
        <f>SUMIFS($S$2:$S$10,$R$2:$R$10,D569)</f>
        <v>34</v>
      </c>
      <c r="H569" s="3">
        <f>SUMIFS($S$2:$S$10,$R$2:$R$10,E569)</f>
        <v>1</v>
      </c>
      <c r="I569" s="3">
        <f>SUMIFS($S$2:$S$10,$R$2:$R$10,F569)</f>
        <v>0</v>
      </c>
      <c r="J569" s="3">
        <f>SUM(G569:I569)</f>
        <v>35</v>
      </c>
      <c r="K569" s="3">
        <f>SUMIFS($T$2:$T$10,$R$2:$R$10,E569)</f>
        <v>0.13</v>
      </c>
      <c r="L569" s="3">
        <f>SUMIFS($V$2:$V$10,$R$2:$R$10,F569)</f>
        <v>0</v>
      </c>
      <c r="M569" s="3">
        <f>SUMIFS($U$2:$U$10,$R$2:$R$10,D569)</f>
        <v>0.15</v>
      </c>
    </row>
    <row r="570" spans="1:13" x14ac:dyDescent="0.25">
      <c r="A570" s="2">
        <f>(A$2+A$2*K570+A$2*M570)*(1+L570)</f>
        <v>677.36720000000003</v>
      </c>
      <c r="B570" s="2">
        <f>(B$2+B$2*K570+B$2*M570)*(1+L570)</f>
        <v>787.86990000000014</v>
      </c>
      <c r="C570" s="2">
        <f>(C$2+C$2*K570+C$2*M570)*(1+L570)</f>
        <v>828.05269999999996</v>
      </c>
      <c r="D570" s="2">
        <v>6</v>
      </c>
      <c r="E570" s="2">
        <v>5</v>
      </c>
      <c r="F570" s="2">
        <v>5</v>
      </c>
      <c r="G570" s="2">
        <f>SUMIFS($S$2:$S$10,$R$2:$R$10,D570)</f>
        <v>15</v>
      </c>
      <c r="H570" s="2">
        <f>SUMIFS($S$2:$S$10,$R$2:$R$10,E570)</f>
        <v>10</v>
      </c>
      <c r="I570" s="2">
        <f>SUMIFS($S$2:$S$10,$R$2:$R$10,F570)</f>
        <v>10</v>
      </c>
      <c r="J570" s="2">
        <f>SUM(G570:I570)</f>
        <v>35</v>
      </c>
      <c r="K570" s="2">
        <f>SUMIFS($U$2:$U$10,$R$2:$R$10,E570)</f>
        <v>7.0000000000000007E-2</v>
      </c>
      <c r="L570" s="2">
        <f>SUMIFS($T$2:$T$10,$R$2:$R$10,F570)</f>
        <v>0.27</v>
      </c>
      <c r="M570" s="2">
        <f>SUMIFS($V$2:$V$10,$R$2:$R$10,D570)</f>
        <v>0.06</v>
      </c>
    </row>
    <row r="571" spans="1:13" x14ac:dyDescent="0.25">
      <c r="A571" s="2">
        <f>(A$2+A$2*K571+A$2*M571)*(1+L571)</f>
        <v>666.65280000000007</v>
      </c>
      <c r="B571" s="2">
        <f>(B$2+B$2*K571+B$2*M571)*(1+L571)</f>
        <v>775.40760000000012</v>
      </c>
      <c r="C571" s="2">
        <f>(C$2+C$2*K571+C$2*M571)*(1+L571)</f>
        <v>814.95479999999998</v>
      </c>
      <c r="D571" s="2">
        <v>7</v>
      </c>
      <c r="E571" s="2">
        <v>0</v>
      </c>
      <c r="F571" s="2">
        <v>6</v>
      </c>
      <c r="G571" s="2">
        <f>SUMIFS($S$2:$S$10,$R$2:$R$10,D571)</f>
        <v>20</v>
      </c>
      <c r="H571" s="2">
        <f>SUMIFS($S$2:$S$10,$R$2:$R$10,E571)</f>
        <v>0</v>
      </c>
      <c r="I571" s="2">
        <f>SUMIFS($S$2:$S$10,$R$2:$R$10,F571)</f>
        <v>15</v>
      </c>
      <c r="J571" s="2">
        <f>SUM(G571:I571)</f>
        <v>35</v>
      </c>
      <c r="K571" s="2">
        <f>SUMIFS($U$2:$U$10,$R$2:$R$10,E571)</f>
        <v>0</v>
      </c>
      <c r="L571" s="2">
        <f>SUMIFS($T$2:$T$10,$R$2:$R$10,F571)</f>
        <v>0.32</v>
      </c>
      <c r="M571" s="2">
        <f>SUMIFS($V$2:$V$10,$R$2:$R$10,D571)</f>
        <v>7.0000000000000007E-2</v>
      </c>
    </row>
    <row r="572" spans="1:13" x14ac:dyDescent="0.25">
      <c r="A572" s="2">
        <f>(A$2+A$2*K572+A$2*M572)*(1+L572)</f>
        <v>547.52</v>
      </c>
      <c r="B572" s="2">
        <f>(B$2+B$2*K572+B$2*M572)*(1+L572)</f>
        <v>636.83999999999992</v>
      </c>
      <c r="C572" s="2">
        <f>(C$2+C$2*K572+C$2*M572)*(1+L572)</f>
        <v>669.31999999999994</v>
      </c>
      <c r="D572" s="2">
        <v>7</v>
      </c>
      <c r="E572" s="2">
        <v>6</v>
      </c>
      <c r="F572" s="2">
        <v>0</v>
      </c>
      <c r="G572" s="2">
        <f>SUMIFS($S$2:$S$10,$R$2:$R$10,D572)</f>
        <v>20</v>
      </c>
      <c r="H572" s="2">
        <f>SUMIFS($S$2:$S$10,$R$2:$R$10,E572)</f>
        <v>15</v>
      </c>
      <c r="I572" s="2">
        <f>SUMIFS($S$2:$S$10,$R$2:$R$10,F572)</f>
        <v>0</v>
      </c>
      <c r="J572" s="2">
        <f>SUM(G572:I572)</f>
        <v>35</v>
      </c>
      <c r="K572" s="2">
        <f>SUMIFS($U$2:$U$10,$R$2:$R$10,E572)</f>
        <v>0.09</v>
      </c>
      <c r="L572" s="2">
        <f>SUMIFS($T$2:$T$10,$R$2:$R$10,F572)</f>
        <v>0</v>
      </c>
      <c r="M572" s="2">
        <f>SUMIFS($V$2:$V$10,$R$2:$R$10,D572)</f>
        <v>7.0000000000000007E-2</v>
      </c>
    </row>
    <row r="573" spans="1:13" x14ac:dyDescent="0.25">
      <c r="A573" s="2">
        <f>(A$2+A$2*K573+A$2*M573)*(1+L573)</f>
        <v>627.66560000000004</v>
      </c>
      <c r="B573" s="2">
        <f>(B$2+B$2*K573+B$2*M573)*(1+L573)</f>
        <v>730.0601999999999</v>
      </c>
      <c r="C573" s="2">
        <f>(C$2+C$2*K573+C$2*M573)*(1+L573)</f>
        <v>767.29459999999995</v>
      </c>
      <c r="D573" s="2">
        <v>8</v>
      </c>
      <c r="E573" s="2">
        <v>1</v>
      </c>
      <c r="F573" s="2">
        <v>4</v>
      </c>
      <c r="G573" s="2">
        <f>SUMIFS($S$2:$S$10,$R$2:$R$10,D573)</f>
        <v>27</v>
      </c>
      <c r="H573" s="2">
        <f>SUMIFS($S$2:$S$10,$R$2:$R$10,E573)</f>
        <v>1</v>
      </c>
      <c r="I573" s="2">
        <f>SUMIFS($S$2:$S$10,$R$2:$R$10,F573)</f>
        <v>7</v>
      </c>
      <c r="J573" s="2">
        <f>SUM(G573:I573)</f>
        <v>35</v>
      </c>
      <c r="K573" s="2">
        <f>SUMIFS($U$2:$U$10,$R$2:$R$10,E573)</f>
        <v>0.01</v>
      </c>
      <c r="L573" s="2">
        <f>SUMIFS($T$2:$T$10,$R$2:$R$10,F573)</f>
        <v>0.22</v>
      </c>
      <c r="M573" s="2">
        <f>SUMIFS($V$2:$V$10,$R$2:$R$10,D573)</f>
        <v>0.08</v>
      </c>
    </row>
    <row r="574" spans="1:13" x14ac:dyDescent="0.25">
      <c r="A574" s="2">
        <f>(A$2+A$2*K574+A$2*M574)*(1+L574)</f>
        <v>623.46480000000008</v>
      </c>
      <c r="B574" s="2">
        <f>(B$2+B$2*K574+B$2*M574)*(1+L574)</f>
        <v>725.17409999999995</v>
      </c>
      <c r="C574" s="2">
        <f>(C$2+C$2*K574+C$2*M574)*(1+L574)</f>
        <v>762.15929999999992</v>
      </c>
      <c r="D574" s="2">
        <v>8</v>
      </c>
      <c r="E574" s="2">
        <v>3</v>
      </c>
      <c r="F574" s="2">
        <v>3</v>
      </c>
      <c r="G574" s="2">
        <f>SUMIFS($S$2:$S$10,$R$2:$R$10,D574)</f>
        <v>27</v>
      </c>
      <c r="H574" s="2">
        <f>SUMIFS($S$2:$S$10,$R$2:$R$10,E574)</f>
        <v>4</v>
      </c>
      <c r="I574" s="2">
        <f>SUMIFS($S$2:$S$10,$R$2:$R$10,F574)</f>
        <v>4</v>
      </c>
      <c r="J574" s="2">
        <f>SUM(G574:I574)</f>
        <v>35</v>
      </c>
      <c r="K574" s="2">
        <f>SUMIFS($U$2:$U$10,$R$2:$R$10,E574)</f>
        <v>0.03</v>
      </c>
      <c r="L574" s="2">
        <f>SUMIFS($T$2:$T$10,$R$2:$R$10,F574)</f>
        <v>0.19</v>
      </c>
      <c r="M574" s="2">
        <f>SUMIFS($V$2:$V$10,$R$2:$R$10,D574)</f>
        <v>0.08</v>
      </c>
    </row>
    <row r="575" spans="1:13" x14ac:dyDescent="0.25">
      <c r="A575" s="2">
        <f>(A$2+A$2*K575+A$2*M575)*(1+L575)</f>
        <v>602.69679999999994</v>
      </c>
      <c r="B575" s="2">
        <f>(B$2+B$2*K575+B$2*M575)*(1+L575)</f>
        <v>701.01809999999989</v>
      </c>
      <c r="C575" s="2">
        <f>(C$2+C$2*K575+C$2*M575)*(1+L575)</f>
        <v>736.77129999999988</v>
      </c>
      <c r="D575" s="2">
        <v>8</v>
      </c>
      <c r="E575" s="2">
        <v>4</v>
      </c>
      <c r="F575" s="2">
        <v>1</v>
      </c>
      <c r="G575" s="2">
        <f>SUMIFS($S$2:$S$10,$R$2:$R$10,D575)</f>
        <v>27</v>
      </c>
      <c r="H575" s="2">
        <f>SUMIFS($S$2:$S$10,$R$2:$R$10,E575)</f>
        <v>7</v>
      </c>
      <c r="I575" s="2">
        <f>SUMIFS($S$2:$S$10,$R$2:$R$10,F575)</f>
        <v>1</v>
      </c>
      <c r="J575" s="2">
        <f>SUM(G575:I575)</f>
        <v>35</v>
      </c>
      <c r="K575" s="2">
        <f>SUMIFS($U$2:$U$10,$R$2:$R$10,E575)</f>
        <v>0.05</v>
      </c>
      <c r="L575" s="2">
        <f>SUMIFS($T$2:$T$10,$R$2:$R$10,F575)</f>
        <v>0.13</v>
      </c>
      <c r="M575" s="2">
        <f>SUMIFS($V$2:$V$10,$R$2:$R$10,D575)</f>
        <v>0.08</v>
      </c>
    </row>
    <row r="576" spans="1:13" x14ac:dyDescent="0.25">
      <c r="A576" s="2">
        <f>(A$2+A$2*K576+A$2*M576)*(1+L576)</f>
        <v>581.36239999999998</v>
      </c>
      <c r="B576" s="2">
        <f>(B$2+B$2*K576+B$2*M576)*(1+L576)</f>
        <v>676.2032999999999</v>
      </c>
      <c r="C576" s="2">
        <f>(C$2+C$2*K576+C$2*M576)*(1+L576)</f>
        <v>710.69089999999983</v>
      </c>
      <c r="D576" s="2">
        <v>9</v>
      </c>
      <c r="E576" s="2">
        <v>0</v>
      </c>
      <c r="F576" s="2">
        <v>1</v>
      </c>
      <c r="G576" s="2">
        <f>SUMIFS($S$2:$S$10,$R$2:$R$10,D576)</f>
        <v>34</v>
      </c>
      <c r="H576" s="2">
        <f>SUMIFS($S$2:$S$10,$R$2:$R$10,E576)</f>
        <v>0</v>
      </c>
      <c r="I576" s="2">
        <f>SUMIFS($S$2:$S$10,$R$2:$R$10,F576)</f>
        <v>1</v>
      </c>
      <c r="J576" s="2">
        <f>SUM(G576:I576)</f>
        <v>35</v>
      </c>
      <c r="K576" s="2">
        <f>SUMIFS($U$2:$U$10,$R$2:$R$10,E576)</f>
        <v>0</v>
      </c>
      <c r="L576" s="2">
        <f>SUMIFS($T$2:$T$10,$R$2:$R$10,F576)</f>
        <v>0.13</v>
      </c>
      <c r="M576" s="2">
        <f>SUMIFS($V$2:$V$10,$R$2:$R$10,D576)</f>
        <v>0.09</v>
      </c>
    </row>
    <row r="577" spans="1:13" x14ac:dyDescent="0.25">
      <c r="A577" s="2">
        <f>(A$2+A$2*K577+A$2*M577)*(1+L577)</f>
        <v>519.20000000000005</v>
      </c>
      <c r="B577" s="2">
        <f>(B$2+B$2*K577+B$2*M577)*(1+L577)</f>
        <v>603.9</v>
      </c>
      <c r="C577" s="2">
        <f>(C$2+C$2*K577+C$2*M577)*(1+L577)</f>
        <v>634.69999999999993</v>
      </c>
      <c r="D577" s="2">
        <v>9</v>
      </c>
      <c r="E577" s="2">
        <v>1</v>
      </c>
      <c r="F577" s="2">
        <v>0</v>
      </c>
      <c r="G577" s="2">
        <f>SUMIFS($S$2:$S$10,$R$2:$R$10,D577)</f>
        <v>34</v>
      </c>
      <c r="H577" s="2">
        <f>SUMIFS($S$2:$S$10,$R$2:$R$10,E577)</f>
        <v>1</v>
      </c>
      <c r="I577" s="2">
        <f>SUMIFS($S$2:$S$10,$R$2:$R$10,F577)</f>
        <v>0</v>
      </c>
      <c r="J577" s="2">
        <f>SUM(G577:I577)</f>
        <v>35</v>
      </c>
      <c r="K577" s="2">
        <f>SUMIFS($U$2:$U$10,$R$2:$R$10,E577)</f>
        <v>0.01</v>
      </c>
      <c r="L577" s="2">
        <f>SUMIFS($T$2:$T$10,$R$2:$R$10,F577)</f>
        <v>0</v>
      </c>
      <c r="M577" s="2">
        <f>SUMIFS($V$2:$V$10,$R$2:$R$10,D577)</f>
        <v>0.09</v>
      </c>
    </row>
    <row r="578" spans="1:13" x14ac:dyDescent="0.25">
      <c r="A578" s="1">
        <f>(A$2+A$2*K578+A$2*L578)*(1+M578)</f>
        <v>691.90480000000014</v>
      </c>
      <c r="B578" s="1">
        <f>(B$2+B$2*K578+B$2*L578)*(1+M578)</f>
        <v>804.7791000000002</v>
      </c>
      <c r="C578" s="1">
        <f>(C$2+C$2*K578+C$2*L578)*(1+M578)</f>
        <v>845.82429999999999</v>
      </c>
      <c r="D578" s="1">
        <v>7</v>
      </c>
      <c r="E578" s="1">
        <v>1</v>
      </c>
      <c r="F578" s="1">
        <v>6</v>
      </c>
      <c r="G578" s="1">
        <f>SUMIFS($S$2:$S$10,$R$2:$R$10,D578)</f>
        <v>20</v>
      </c>
      <c r="H578" s="1">
        <f>SUMIFS($S$2:$S$10,$R$2:$R$10,E578)</f>
        <v>1</v>
      </c>
      <c r="I578" s="1">
        <f>SUMIFS($S$2:$S$10,$R$2:$R$10,F578)</f>
        <v>15</v>
      </c>
      <c r="J578" s="1">
        <f>SUM(G578:I578)</f>
        <v>36</v>
      </c>
      <c r="K578" s="1">
        <f>SUMIFS($U$2:$U$10,$R$2:$R$10,E578)</f>
        <v>0.01</v>
      </c>
      <c r="L578" s="1">
        <f>SUMIFS($V$2:$V$10,$R$2:$R$10,F578)</f>
        <v>0.06</v>
      </c>
      <c r="M578" s="1">
        <f>SUMIFS($T$2:$T$10,$R$2:$R$10,D578)</f>
        <v>0.37</v>
      </c>
    </row>
    <row r="579" spans="1:13" x14ac:dyDescent="0.25">
      <c r="A579" s="1">
        <f>(A$2+A$2*K579+A$2*L579)*(1+M579)</f>
        <v>711.30400000000009</v>
      </c>
      <c r="B579" s="1">
        <f>(B$2+B$2*K579+B$2*L579)*(1+M579)</f>
        <v>827.34300000000007</v>
      </c>
      <c r="C579" s="1">
        <f>(C$2+C$2*K579+C$2*L579)*(1+M579)</f>
        <v>869.53899999999999</v>
      </c>
      <c r="D579" s="1">
        <v>7</v>
      </c>
      <c r="E579" s="1">
        <v>6</v>
      </c>
      <c r="F579" s="1">
        <v>1</v>
      </c>
      <c r="G579" s="1">
        <f>SUMIFS($S$2:$S$10,$R$2:$R$10,D579)</f>
        <v>20</v>
      </c>
      <c r="H579" s="1">
        <f>SUMIFS($S$2:$S$10,$R$2:$R$10,E579)</f>
        <v>15</v>
      </c>
      <c r="I579" s="1">
        <f>SUMIFS($S$2:$S$10,$R$2:$R$10,F579)</f>
        <v>1</v>
      </c>
      <c r="J579" s="1">
        <f>SUM(G579:I579)</f>
        <v>36</v>
      </c>
      <c r="K579" s="1">
        <f>SUMIFS($U$2:$U$10,$R$2:$R$10,E579)</f>
        <v>0.09</v>
      </c>
      <c r="L579" s="1">
        <f>SUMIFS($V$2:$V$10,$R$2:$R$10,F579)</f>
        <v>0.01</v>
      </c>
      <c r="M579" s="1">
        <f>SUMIFS($T$2:$T$10,$R$2:$R$10,D579)</f>
        <v>0.37</v>
      </c>
    </row>
    <row r="580" spans="1:13" x14ac:dyDescent="0.25">
      <c r="A580" s="1">
        <f>(A$2+A$2*K580+A$2*L580)*(1+M580)</f>
        <v>715.45759999999996</v>
      </c>
      <c r="B580" s="1">
        <f>(B$2+B$2*K580+B$2*L580)*(1+M580)</f>
        <v>832.17420000000004</v>
      </c>
      <c r="C580" s="1">
        <f>(C$2+C$2*K580+C$2*L580)*(1+M580)</f>
        <v>874.61659999999995</v>
      </c>
      <c r="D580" s="1">
        <v>8</v>
      </c>
      <c r="E580" s="1">
        <v>2</v>
      </c>
      <c r="F580" s="1">
        <v>4</v>
      </c>
      <c r="G580" s="1">
        <f>SUMIFS($S$2:$S$10,$R$2:$R$10,D580)</f>
        <v>27</v>
      </c>
      <c r="H580" s="1">
        <f>SUMIFS($S$2:$S$10,$R$2:$R$10,E580)</f>
        <v>2</v>
      </c>
      <c r="I580" s="1">
        <f>SUMIFS($S$2:$S$10,$R$2:$R$10,F580)</f>
        <v>7</v>
      </c>
      <c r="J580" s="1">
        <f>SUM(G580:I580)</f>
        <v>36</v>
      </c>
      <c r="K580" s="1">
        <f>SUMIFS($U$2:$U$10,$R$2:$R$10,E580)</f>
        <v>0.02</v>
      </c>
      <c r="L580" s="1">
        <f>SUMIFS($V$2:$V$10,$R$2:$R$10,F580)</f>
        <v>0.04</v>
      </c>
      <c r="M580" s="1">
        <f>SUMIFS($T$2:$T$10,$R$2:$R$10,D580)</f>
        <v>0.43</v>
      </c>
    </row>
    <row r="581" spans="1:13" x14ac:dyDescent="0.25">
      <c r="A581" s="1">
        <f>(A$2+A$2*K581+A$2*L581)*(1+M581)</f>
        <v>722.20719999999994</v>
      </c>
      <c r="B581" s="1">
        <f>(B$2+B$2*K581+B$2*L581)*(1+M581)</f>
        <v>840.0249</v>
      </c>
      <c r="C581" s="1">
        <f>(C$2+C$2*K581+C$2*L581)*(1+M581)</f>
        <v>882.8676999999999</v>
      </c>
      <c r="D581" s="1">
        <v>8</v>
      </c>
      <c r="E581" s="1">
        <v>4</v>
      </c>
      <c r="F581" s="1">
        <v>2</v>
      </c>
      <c r="G581" s="1">
        <f>SUMIFS($S$2:$S$10,$R$2:$R$10,D581)</f>
        <v>27</v>
      </c>
      <c r="H581" s="1">
        <f>SUMIFS($S$2:$S$10,$R$2:$R$10,E581)</f>
        <v>7</v>
      </c>
      <c r="I581" s="1">
        <f>SUMIFS($S$2:$S$10,$R$2:$R$10,F581)</f>
        <v>2</v>
      </c>
      <c r="J581" s="1">
        <f>SUM(G581:I581)</f>
        <v>36</v>
      </c>
      <c r="K581" s="1">
        <f>SUMIFS($U$2:$U$10,$R$2:$R$10,E581)</f>
        <v>0.05</v>
      </c>
      <c r="L581" s="1">
        <f>SUMIFS($V$2:$V$10,$R$2:$R$10,F581)</f>
        <v>0.02</v>
      </c>
      <c r="M581" s="1">
        <f>SUMIFS($T$2:$T$10,$R$2:$R$10,D581)</f>
        <v>0.43</v>
      </c>
    </row>
    <row r="582" spans="1:13" x14ac:dyDescent="0.25">
      <c r="A582" s="1">
        <f>(A$2+A$2*K582+A$2*L582)*(1+M582)</f>
        <v>717.34559999999999</v>
      </c>
      <c r="B582" s="1">
        <f>(B$2+B$2*K582+B$2*L582)*(1+M582)</f>
        <v>834.37020000000007</v>
      </c>
      <c r="C582" s="1">
        <f>(C$2+C$2*K582+C$2*L582)*(1+M582)</f>
        <v>876.92459999999994</v>
      </c>
      <c r="D582" s="1">
        <v>9</v>
      </c>
      <c r="E582" s="1">
        <v>0</v>
      </c>
      <c r="F582" s="1">
        <v>2</v>
      </c>
      <c r="G582" s="1">
        <f>SUMIFS($S$2:$S$10,$R$2:$R$10,D582)</f>
        <v>34</v>
      </c>
      <c r="H582" s="1">
        <f>SUMIFS($S$2:$S$10,$R$2:$R$10,E582)</f>
        <v>0</v>
      </c>
      <c r="I582" s="1">
        <f>SUMIFS($S$2:$S$10,$R$2:$R$10,F582)</f>
        <v>2</v>
      </c>
      <c r="J582" s="1">
        <f>SUM(G582:I582)</f>
        <v>36</v>
      </c>
      <c r="K582" s="1">
        <f>SUMIFS($U$2:$U$10,$R$2:$R$10,E582)</f>
        <v>0</v>
      </c>
      <c r="L582" s="1">
        <f>SUMIFS($V$2:$V$10,$R$2:$R$10,F582)</f>
        <v>0.02</v>
      </c>
      <c r="M582" s="1">
        <f>SUMIFS($T$2:$T$10,$R$2:$R$10,D582)</f>
        <v>0.49</v>
      </c>
    </row>
    <row r="583" spans="1:13" x14ac:dyDescent="0.25">
      <c r="A583" s="1">
        <f>(A$2+A$2*K583+A$2*L583)*(1+M583)</f>
        <v>717.3456000000001</v>
      </c>
      <c r="B583" s="1">
        <f>(B$2+B$2*K583+B$2*L583)*(1+M583)</f>
        <v>834.37020000000007</v>
      </c>
      <c r="C583" s="1">
        <f>(C$2+C$2*K583+C$2*L583)*(1+M583)</f>
        <v>876.92459999999994</v>
      </c>
      <c r="D583" s="1">
        <v>9</v>
      </c>
      <c r="E583" s="1">
        <v>1</v>
      </c>
      <c r="F583" s="1">
        <v>1</v>
      </c>
      <c r="G583" s="1">
        <f>SUMIFS($S$2:$S$10,$R$2:$R$10,D583)</f>
        <v>34</v>
      </c>
      <c r="H583" s="1">
        <f>SUMIFS($S$2:$S$10,$R$2:$R$10,E583)</f>
        <v>1</v>
      </c>
      <c r="I583" s="1">
        <f>SUMIFS($S$2:$S$10,$R$2:$R$10,F583)</f>
        <v>1</v>
      </c>
      <c r="J583" s="1">
        <f>SUM(G583:I583)</f>
        <v>36</v>
      </c>
      <c r="K583" s="1">
        <f>SUMIFS($U$2:$U$10,$R$2:$R$10,E583)</f>
        <v>0.01</v>
      </c>
      <c r="L583" s="1">
        <f>SUMIFS($V$2:$V$10,$R$2:$R$10,F583)</f>
        <v>0.01</v>
      </c>
      <c r="M583" s="1">
        <f>SUMIFS($T$2:$T$10,$R$2:$R$10,D583)</f>
        <v>0.49</v>
      </c>
    </row>
    <row r="584" spans="1:13" x14ac:dyDescent="0.25">
      <c r="A584" s="1">
        <f>(A$2+A$2*K584+A$2*L584)*(1+M584)</f>
        <v>717.34559999999999</v>
      </c>
      <c r="B584" s="1">
        <f>(B$2+B$2*K584+B$2*L584)*(1+M584)</f>
        <v>834.37020000000007</v>
      </c>
      <c r="C584" s="1">
        <f>(C$2+C$2*K584+C$2*L584)*(1+M584)</f>
        <v>876.92459999999994</v>
      </c>
      <c r="D584" s="1">
        <v>9</v>
      </c>
      <c r="E584" s="1">
        <v>2</v>
      </c>
      <c r="F584" s="1">
        <v>0</v>
      </c>
      <c r="G584" s="1">
        <f>SUMIFS($S$2:$S$10,$R$2:$R$10,D584)</f>
        <v>34</v>
      </c>
      <c r="H584" s="1">
        <f>SUMIFS($S$2:$S$10,$R$2:$R$10,E584)</f>
        <v>2</v>
      </c>
      <c r="I584" s="1">
        <f>SUMIFS($S$2:$S$10,$R$2:$R$10,F584)</f>
        <v>0</v>
      </c>
      <c r="J584" s="1">
        <f>SUM(G584:I584)</f>
        <v>36</v>
      </c>
      <c r="K584" s="1">
        <f>SUMIFS($U$2:$U$10,$R$2:$R$10,E584)</f>
        <v>0.02</v>
      </c>
      <c r="L584" s="1">
        <f>SUMIFS($V$2:$V$10,$R$2:$R$10,F584)</f>
        <v>0</v>
      </c>
      <c r="M584" s="1">
        <f>SUMIFS($T$2:$T$10,$R$2:$R$10,D584)</f>
        <v>0.49</v>
      </c>
    </row>
    <row r="585" spans="1:13" x14ac:dyDescent="0.25">
      <c r="A585" s="3">
        <f>(A$2+A$2*M585+A$2*L585)*(1+K585)</f>
        <v>624.0311999999999</v>
      </c>
      <c r="B585" s="3">
        <f>(B$2+B$2*M585+B$2*L585)*(1+K585)</f>
        <v>725.83289999999988</v>
      </c>
      <c r="C585" s="3">
        <f>(C$2+C$2*M585+C$2*L585)*(1+K585)</f>
        <v>762.85169999999994</v>
      </c>
      <c r="D585" s="3">
        <v>7</v>
      </c>
      <c r="E585" s="3">
        <v>1</v>
      </c>
      <c r="F585" s="3">
        <v>6</v>
      </c>
      <c r="G585" s="3">
        <f>SUMIFS($S$2:$S$10,$R$2:$R$10,D585)</f>
        <v>20</v>
      </c>
      <c r="H585" s="3">
        <f>SUMIFS($S$2:$S$10,$R$2:$R$10,E585)</f>
        <v>1</v>
      </c>
      <c r="I585" s="3">
        <f>SUMIFS($S$2:$S$10,$R$2:$R$10,F585)</f>
        <v>15</v>
      </c>
      <c r="J585" s="3">
        <f>SUM(G585:I585)</f>
        <v>36</v>
      </c>
      <c r="K585" s="3">
        <f>SUMIFS($T$2:$T$10,$R$2:$R$10,E585)</f>
        <v>0.13</v>
      </c>
      <c r="L585" s="3">
        <f>SUMIFS($V$2:$V$10,$R$2:$R$10,F585)</f>
        <v>0.06</v>
      </c>
      <c r="M585" s="3">
        <f>SUMIFS($U$2:$U$10,$R$2:$R$10,D585)</f>
        <v>0.11</v>
      </c>
    </row>
    <row r="586" spans="1:13" x14ac:dyDescent="0.25">
      <c r="A586" s="3">
        <f>(A$2+A$2*M586+A$2*L586)*(1+K586)</f>
        <v>697.8048</v>
      </c>
      <c r="B586" s="3">
        <f>(B$2+B$2*M586+B$2*L586)*(1+K586)</f>
        <v>811.64160000000004</v>
      </c>
      <c r="C586" s="3">
        <f>(C$2+C$2*M586+C$2*L586)*(1+K586)</f>
        <v>853.03680000000008</v>
      </c>
      <c r="D586" s="3">
        <v>7</v>
      </c>
      <c r="E586" s="3">
        <v>6</v>
      </c>
      <c r="F586" s="3">
        <v>1</v>
      </c>
      <c r="G586" s="3">
        <f>SUMIFS($S$2:$S$10,$R$2:$R$10,D586)</f>
        <v>20</v>
      </c>
      <c r="H586" s="3">
        <f>SUMIFS($S$2:$S$10,$R$2:$R$10,E586)</f>
        <v>15</v>
      </c>
      <c r="I586" s="3">
        <f>SUMIFS($S$2:$S$10,$R$2:$R$10,F586)</f>
        <v>1</v>
      </c>
      <c r="J586" s="3">
        <f>SUM(G586:I586)</f>
        <v>36</v>
      </c>
      <c r="K586" s="3">
        <f>SUMIFS($T$2:$T$10,$R$2:$R$10,E586)</f>
        <v>0.32</v>
      </c>
      <c r="L586" s="3">
        <f>SUMIFS($V$2:$V$10,$R$2:$R$10,F586)</f>
        <v>0.01</v>
      </c>
      <c r="M586" s="3">
        <f>SUMIFS($U$2:$U$10,$R$2:$R$10,D586)</f>
        <v>0.11</v>
      </c>
    </row>
    <row r="587" spans="1:13" x14ac:dyDescent="0.25">
      <c r="A587" s="3">
        <f>(A$2+A$2*M587+A$2*L587)*(1+K587)</f>
        <v>640.59839999999997</v>
      </c>
      <c r="B587" s="3">
        <f>(B$2+B$2*M587+B$2*L587)*(1+K587)</f>
        <v>745.1028</v>
      </c>
      <c r="C587" s="3">
        <f>(C$2+C$2*M587+C$2*L587)*(1+K587)</f>
        <v>783.10439999999994</v>
      </c>
      <c r="D587" s="3">
        <v>8</v>
      </c>
      <c r="E587" s="3">
        <v>2</v>
      </c>
      <c r="F587" s="3">
        <v>4</v>
      </c>
      <c r="G587" s="3">
        <f>SUMIFS($S$2:$S$10,$R$2:$R$10,D587)</f>
        <v>27</v>
      </c>
      <c r="H587" s="3">
        <f>SUMIFS($S$2:$S$10,$R$2:$R$10,E587)</f>
        <v>2</v>
      </c>
      <c r="I587" s="3">
        <f>SUMIFS($S$2:$S$10,$R$2:$R$10,F587)</f>
        <v>7</v>
      </c>
      <c r="J587" s="3">
        <f>SUM(G587:I587)</f>
        <v>36</v>
      </c>
      <c r="K587" s="3">
        <f>SUMIFS($T$2:$T$10,$R$2:$R$10,E587)</f>
        <v>0.16</v>
      </c>
      <c r="L587" s="3">
        <f>SUMIFS($V$2:$V$10,$R$2:$R$10,F587)</f>
        <v>0.04</v>
      </c>
      <c r="M587" s="3">
        <f>SUMIFS($U$2:$U$10,$R$2:$R$10,D587)</f>
        <v>0.13</v>
      </c>
    </row>
    <row r="588" spans="1:13" x14ac:dyDescent="0.25">
      <c r="A588" s="3">
        <f>(A$2+A$2*M588+A$2*L588)*(1+K588)</f>
        <v>662.21600000000012</v>
      </c>
      <c r="B588" s="3">
        <f>(B$2+B$2*M588+B$2*L588)*(1+K588)</f>
        <v>770.24699999999996</v>
      </c>
      <c r="C588" s="3">
        <f>(C$2+C$2*M588+C$2*L588)*(1+K588)</f>
        <v>809.53099999999995</v>
      </c>
      <c r="D588" s="3">
        <v>8</v>
      </c>
      <c r="E588" s="3">
        <v>4</v>
      </c>
      <c r="F588" s="3">
        <v>2</v>
      </c>
      <c r="G588" s="3">
        <f>SUMIFS($S$2:$S$10,$R$2:$R$10,D588)</f>
        <v>27</v>
      </c>
      <c r="H588" s="3">
        <f>SUMIFS($S$2:$S$10,$R$2:$R$10,E588)</f>
        <v>7</v>
      </c>
      <c r="I588" s="3">
        <f>SUMIFS($S$2:$S$10,$R$2:$R$10,F588)</f>
        <v>2</v>
      </c>
      <c r="J588" s="3">
        <f>SUM(G588:I588)</f>
        <v>36</v>
      </c>
      <c r="K588" s="3">
        <f>SUMIFS($T$2:$T$10,$R$2:$R$10,E588)</f>
        <v>0.22</v>
      </c>
      <c r="L588" s="3">
        <f>SUMIFS($V$2:$V$10,$R$2:$R$10,F588)</f>
        <v>0.02</v>
      </c>
      <c r="M588" s="3">
        <f>SUMIFS($U$2:$U$10,$R$2:$R$10,D588)</f>
        <v>0.13</v>
      </c>
    </row>
    <row r="589" spans="1:13" x14ac:dyDescent="0.25">
      <c r="A589" s="3">
        <f>(A$2+A$2*M589+A$2*L589)*(1+K589)</f>
        <v>552.24</v>
      </c>
      <c r="B589" s="3">
        <f>(B$2+B$2*M589+B$2*L589)*(1+K589)</f>
        <v>642.33000000000004</v>
      </c>
      <c r="C589" s="3">
        <f>(C$2+C$2*M589+C$2*L589)*(1+K589)</f>
        <v>675.08999999999992</v>
      </c>
      <c r="D589" s="3">
        <v>9</v>
      </c>
      <c r="E589" s="3">
        <v>0</v>
      </c>
      <c r="F589" s="3">
        <v>2</v>
      </c>
      <c r="G589" s="3">
        <f>SUMIFS($S$2:$S$10,$R$2:$R$10,D589)</f>
        <v>34</v>
      </c>
      <c r="H589" s="3">
        <f>SUMIFS($S$2:$S$10,$R$2:$R$10,E589)</f>
        <v>0</v>
      </c>
      <c r="I589" s="3">
        <f>SUMIFS($S$2:$S$10,$R$2:$R$10,F589)</f>
        <v>2</v>
      </c>
      <c r="J589" s="3">
        <f>SUM(G589:I589)</f>
        <v>36</v>
      </c>
      <c r="K589" s="3">
        <f>SUMIFS($T$2:$T$10,$R$2:$R$10,E589)</f>
        <v>0</v>
      </c>
      <c r="L589" s="3">
        <f>SUMIFS($V$2:$V$10,$R$2:$R$10,F589)</f>
        <v>0.02</v>
      </c>
      <c r="M589" s="3">
        <f>SUMIFS($U$2:$U$10,$R$2:$R$10,D589)</f>
        <v>0.15</v>
      </c>
    </row>
    <row r="590" spans="1:13" x14ac:dyDescent="0.25">
      <c r="A590" s="3">
        <f>(A$2+A$2*M590+A$2*L590)*(1+K590)</f>
        <v>618.69759999999997</v>
      </c>
      <c r="B590" s="3">
        <f>(B$2+B$2*M590+B$2*L590)*(1+K590)</f>
        <v>719.62919999999997</v>
      </c>
      <c r="C590" s="3">
        <f>(C$2+C$2*M590+C$2*L590)*(1+K590)</f>
        <v>756.33159999999987</v>
      </c>
      <c r="D590" s="3">
        <v>9</v>
      </c>
      <c r="E590" s="3">
        <v>1</v>
      </c>
      <c r="F590" s="3">
        <v>1</v>
      </c>
      <c r="G590" s="3">
        <f>SUMIFS($S$2:$S$10,$R$2:$R$10,D590)</f>
        <v>34</v>
      </c>
      <c r="H590" s="3">
        <f>SUMIFS($S$2:$S$10,$R$2:$R$10,E590)</f>
        <v>1</v>
      </c>
      <c r="I590" s="3">
        <f>SUMIFS($S$2:$S$10,$R$2:$R$10,F590)</f>
        <v>1</v>
      </c>
      <c r="J590" s="3">
        <f>SUM(G590:I590)</f>
        <v>36</v>
      </c>
      <c r="K590" s="3">
        <f>SUMIFS($T$2:$T$10,$R$2:$R$10,E590)</f>
        <v>0.13</v>
      </c>
      <c r="L590" s="3">
        <f>SUMIFS($V$2:$V$10,$R$2:$R$10,F590)</f>
        <v>0.01</v>
      </c>
      <c r="M590" s="3">
        <f>SUMIFS($U$2:$U$10,$R$2:$R$10,D590)</f>
        <v>0.15</v>
      </c>
    </row>
    <row r="591" spans="1:13" x14ac:dyDescent="0.25">
      <c r="A591" s="3">
        <f>(A$2+A$2*M591+A$2*L591)*(1+K591)</f>
        <v>629.64799999999991</v>
      </c>
      <c r="B591" s="3">
        <f>(B$2+B$2*M591+B$2*L591)*(1+K591)</f>
        <v>732.36599999999999</v>
      </c>
      <c r="C591" s="3">
        <f>(C$2+C$2*M591+C$2*L591)*(1+K591)</f>
        <v>769.71799999999985</v>
      </c>
      <c r="D591" s="3">
        <v>9</v>
      </c>
      <c r="E591" s="3">
        <v>2</v>
      </c>
      <c r="F591" s="3">
        <v>0</v>
      </c>
      <c r="G591" s="3">
        <f>SUMIFS($S$2:$S$10,$R$2:$R$10,D591)</f>
        <v>34</v>
      </c>
      <c r="H591" s="3">
        <f>SUMIFS($S$2:$S$10,$R$2:$R$10,E591)</f>
        <v>2</v>
      </c>
      <c r="I591" s="3">
        <f>SUMIFS($S$2:$S$10,$R$2:$R$10,F591)</f>
        <v>0</v>
      </c>
      <c r="J591" s="3">
        <f>SUM(G591:I591)</f>
        <v>36</v>
      </c>
      <c r="K591" s="3">
        <f>SUMIFS($T$2:$T$10,$R$2:$R$10,E591)</f>
        <v>0.16</v>
      </c>
      <c r="L591" s="3">
        <f>SUMIFS($V$2:$V$10,$R$2:$R$10,F591)</f>
        <v>0</v>
      </c>
      <c r="M591" s="3">
        <f>SUMIFS($U$2:$U$10,$R$2:$R$10,D591)</f>
        <v>0.15</v>
      </c>
    </row>
    <row r="592" spans="1:13" x14ac:dyDescent="0.25">
      <c r="A592" s="2">
        <f>(A$2+A$2*K592+A$2*M592)*(1+L592)</f>
        <v>672.8832000000001</v>
      </c>
      <c r="B592" s="2">
        <f>(B$2+B$2*K592+B$2*M592)*(1+L592)</f>
        <v>782.65440000000012</v>
      </c>
      <c r="C592" s="2">
        <f>(C$2+C$2*K592+C$2*M592)*(1+L592)</f>
        <v>822.57119999999998</v>
      </c>
      <c r="D592" s="2">
        <v>7</v>
      </c>
      <c r="E592" s="2">
        <v>1</v>
      </c>
      <c r="F592" s="2">
        <v>6</v>
      </c>
      <c r="G592" s="2">
        <f>SUMIFS($S$2:$S$10,$R$2:$R$10,D592)</f>
        <v>20</v>
      </c>
      <c r="H592" s="2">
        <f>SUMIFS($S$2:$S$10,$R$2:$R$10,E592)</f>
        <v>1</v>
      </c>
      <c r="I592" s="2">
        <f>SUMIFS($S$2:$S$10,$R$2:$R$10,F592)</f>
        <v>15</v>
      </c>
      <c r="J592" s="2">
        <f>SUM(G592:I592)</f>
        <v>36</v>
      </c>
      <c r="K592" s="2">
        <f>SUMIFS($U$2:$U$10,$R$2:$R$10,E592)</f>
        <v>0.01</v>
      </c>
      <c r="L592" s="2">
        <f>SUMIFS($T$2:$T$10,$R$2:$R$10,F592)</f>
        <v>0.32</v>
      </c>
      <c r="M592" s="2">
        <f>SUMIFS($V$2:$V$10,$R$2:$R$10,D592)</f>
        <v>7.0000000000000007E-2</v>
      </c>
    </row>
    <row r="593" spans="1:13" x14ac:dyDescent="0.25">
      <c r="A593" s="2">
        <f>(A$2+A$2*K593+A$2*M593)*(1+L593)</f>
        <v>618.69759999999997</v>
      </c>
      <c r="B593" s="2">
        <f>(B$2+B$2*K593+B$2*M593)*(1+L593)</f>
        <v>719.62919999999986</v>
      </c>
      <c r="C593" s="2">
        <f>(C$2+C$2*K593+C$2*M593)*(1+L593)</f>
        <v>756.33159999999987</v>
      </c>
      <c r="D593" s="2">
        <v>7</v>
      </c>
      <c r="E593" s="2">
        <v>6</v>
      </c>
      <c r="F593" s="2">
        <v>1</v>
      </c>
      <c r="G593" s="2">
        <f>SUMIFS($S$2:$S$10,$R$2:$R$10,D593)</f>
        <v>20</v>
      </c>
      <c r="H593" s="2">
        <f>SUMIFS($S$2:$S$10,$R$2:$R$10,E593)</f>
        <v>15</v>
      </c>
      <c r="I593" s="2">
        <f>SUMIFS($S$2:$S$10,$R$2:$R$10,F593)</f>
        <v>1</v>
      </c>
      <c r="J593" s="2">
        <f>SUM(G593:I593)</f>
        <v>36</v>
      </c>
      <c r="K593" s="2">
        <f>SUMIFS($U$2:$U$10,$R$2:$R$10,E593)</f>
        <v>0.09</v>
      </c>
      <c r="L593" s="2">
        <f>SUMIFS($T$2:$T$10,$R$2:$R$10,F593)</f>
        <v>0.13</v>
      </c>
      <c r="M593" s="2">
        <f>SUMIFS($V$2:$V$10,$R$2:$R$10,D593)</f>
        <v>7.0000000000000007E-2</v>
      </c>
    </row>
    <row r="594" spans="1:13" x14ac:dyDescent="0.25">
      <c r="A594" s="2">
        <f>(A$2+A$2*K594+A$2*M594)*(1+L594)</f>
        <v>633.42400000000009</v>
      </c>
      <c r="B594" s="2">
        <f>(B$2+B$2*K594+B$2*M594)*(1+L594)</f>
        <v>736.75799999999992</v>
      </c>
      <c r="C594" s="2">
        <f>(C$2+C$2*K594+C$2*M594)*(1+L594)</f>
        <v>774.33399999999995</v>
      </c>
      <c r="D594" s="2">
        <v>8</v>
      </c>
      <c r="E594" s="2">
        <v>2</v>
      </c>
      <c r="F594" s="2">
        <v>4</v>
      </c>
      <c r="G594" s="2">
        <f>SUMIFS($S$2:$S$10,$R$2:$R$10,D594)</f>
        <v>27</v>
      </c>
      <c r="H594" s="2">
        <f>SUMIFS($S$2:$S$10,$R$2:$R$10,E594)</f>
        <v>2</v>
      </c>
      <c r="I594" s="2">
        <f>SUMIFS($S$2:$S$10,$R$2:$R$10,F594)</f>
        <v>7</v>
      </c>
      <c r="J594" s="2">
        <f>SUM(G594:I594)</f>
        <v>36</v>
      </c>
      <c r="K594" s="2">
        <f>SUMIFS($U$2:$U$10,$R$2:$R$10,E594)</f>
        <v>0.02</v>
      </c>
      <c r="L594" s="2">
        <f>SUMIFS($T$2:$T$10,$R$2:$R$10,F594)</f>
        <v>0.22</v>
      </c>
      <c r="M594" s="2">
        <f>SUMIFS($V$2:$V$10,$R$2:$R$10,D594)</f>
        <v>0.08</v>
      </c>
    </row>
    <row r="595" spans="1:13" x14ac:dyDescent="0.25">
      <c r="A595" s="2">
        <f>(A$2+A$2*K595+A$2*M595)*(1+L595)</f>
        <v>618.69759999999997</v>
      </c>
      <c r="B595" s="2">
        <f>(B$2+B$2*K595+B$2*M595)*(1+L595)</f>
        <v>719.62919999999997</v>
      </c>
      <c r="C595" s="2">
        <f>(C$2+C$2*K595+C$2*M595)*(1+L595)</f>
        <v>756.33159999999998</v>
      </c>
      <c r="D595" s="2">
        <v>8</v>
      </c>
      <c r="E595" s="2">
        <v>4</v>
      </c>
      <c r="F595" s="2">
        <v>2</v>
      </c>
      <c r="G595" s="2">
        <f>SUMIFS($S$2:$S$10,$R$2:$R$10,D595)</f>
        <v>27</v>
      </c>
      <c r="H595" s="2">
        <f>SUMIFS($S$2:$S$10,$R$2:$R$10,E595)</f>
        <v>7</v>
      </c>
      <c r="I595" s="2">
        <f>SUMIFS($S$2:$S$10,$R$2:$R$10,F595)</f>
        <v>2</v>
      </c>
      <c r="J595" s="2">
        <f>SUM(G595:I595)</f>
        <v>36</v>
      </c>
      <c r="K595" s="2">
        <f>SUMIFS($U$2:$U$10,$R$2:$R$10,E595)</f>
        <v>0.05</v>
      </c>
      <c r="L595" s="2">
        <f>SUMIFS($T$2:$T$10,$R$2:$R$10,F595)</f>
        <v>0.16</v>
      </c>
      <c r="M595" s="2">
        <f>SUMIFS($V$2:$V$10,$R$2:$R$10,D595)</f>
        <v>0.08</v>
      </c>
    </row>
    <row r="596" spans="1:13" x14ac:dyDescent="0.25">
      <c r="A596" s="2">
        <f>(A$2+A$2*K596+A$2*M596)*(1+L596)</f>
        <v>596.79679999999996</v>
      </c>
      <c r="B596" s="2">
        <f>(B$2+B$2*K596+B$2*M596)*(1+L596)</f>
        <v>694.15559999999994</v>
      </c>
      <c r="C596" s="2">
        <f>(C$2+C$2*K596+C$2*M596)*(1+L596)</f>
        <v>729.55879999999991</v>
      </c>
      <c r="D596" s="2">
        <v>9</v>
      </c>
      <c r="E596" s="2">
        <v>0</v>
      </c>
      <c r="F596" s="2">
        <v>2</v>
      </c>
      <c r="G596" s="2">
        <f>SUMIFS($S$2:$S$10,$R$2:$R$10,D596)</f>
        <v>34</v>
      </c>
      <c r="H596" s="2">
        <f>SUMIFS($S$2:$S$10,$R$2:$R$10,E596)</f>
        <v>0</v>
      </c>
      <c r="I596" s="2">
        <f>SUMIFS($S$2:$S$10,$R$2:$R$10,F596)</f>
        <v>2</v>
      </c>
      <c r="J596" s="2">
        <f>SUM(G596:I596)</f>
        <v>36</v>
      </c>
      <c r="K596" s="2">
        <f>SUMIFS($U$2:$U$10,$R$2:$R$10,E596)</f>
        <v>0</v>
      </c>
      <c r="L596" s="2">
        <f>SUMIFS($T$2:$T$10,$R$2:$R$10,F596)</f>
        <v>0.16</v>
      </c>
      <c r="M596" s="2">
        <f>SUMIFS($V$2:$V$10,$R$2:$R$10,D596)</f>
        <v>0.09</v>
      </c>
    </row>
    <row r="597" spans="1:13" x14ac:dyDescent="0.25">
      <c r="A597" s="2">
        <f>(A$2+A$2*K597+A$2*M597)*(1+L597)</f>
        <v>586.69600000000003</v>
      </c>
      <c r="B597" s="2">
        <f>(B$2+B$2*K597+B$2*M597)*(1+L597)</f>
        <v>682.40699999999993</v>
      </c>
      <c r="C597" s="2">
        <f>(C$2+C$2*K597+C$2*M597)*(1+L597)</f>
        <v>717.2109999999999</v>
      </c>
      <c r="D597" s="2">
        <v>9</v>
      </c>
      <c r="E597" s="2">
        <v>1</v>
      </c>
      <c r="F597" s="2">
        <v>1</v>
      </c>
      <c r="G597" s="2">
        <f>SUMIFS($S$2:$S$10,$R$2:$R$10,D597)</f>
        <v>34</v>
      </c>
      <c r="H597" s="2">
        <f>SUMIFS($S$2:$S$10,$R$2:$R$10,E597)</f>
        <v>1</v>
      </c>
      <c r="I597" s="2">
        <f>SUMIFS($S$2:$S$10,$R$2:$R$10,F597)</f>
        <v>1</v>
      </c>
      <c r="J597" s="2">
        <f>SUM(G597:I597)</f>
        <v>36</v>
      </c>
      <c r="K597" s="2">
        <f>SUMIFS($U$2:$U$10,$R$2:$R$10,E597)</f>
        <v>0.01</v>
      </c>
      <c r="L597" s="2">
        <f>SUMIFS($T$2:$T$10,$R$2:$R$10,F597)</f>
        <v>0.13</v>
      </c>
      <c r="M597" s="2">
        <f>SUMIFS($V$2:$V$10,$R$2:$R$10,D597)</f>
        <v>0.09</v>
      </c>
    </row>
    <row r="598" spans="1:13" x14ac:dyDescent="0.25">
      <c r="A598" s="2">
        <f>(A$2+A$2*K598+A$2*M598)*(1+L598)</f>
        <v>523.91999999999996</v>
      </c>
      <c r="B598" s="2">
        <f>(B$2+B$2*K598+B$2*M598)*(1+L598)</f>
        <v>609.39</v>
      </c>
      <c r="C598" s="2">
        <f>(C$2+C$2*K598+C$2*M598)*(1+L598)</f>
        <v>640.46999999999991</v>
      </c>
      <c r="D598" s="2">
        <v>9</v>
      </c>
      <c r="E598" s="2">
        <v>2</v>
      </c>
      <c r="F598" s="2">
        <v>0</v>
      </c>
      <c r="G598" s="2">
        <f>SUMIFS($S$2:$S$10,$R$2:$R$10,D598)</f>
        <v>34</v>
      </c>
      <c r="H598" s="2">
        <f>SUMIFS($S$2:$S$10,$R$2:$R$10,E598)</f>
        <v>2</v>
      </c>
      <c r="I598" s="2">
        <f>SUMIFS($S$2:$S$10,$R$2:$R$10,F598)</f>
        <v>0</v>
      </c>
      <c r="J598" s="2">
        <f>SUM(G598:I598)</f>
        <v>36</v>
      </c>
      <c r="K598" s="2">
        <f>SUMIFS($U$2:$U$10,$R$2:$R$10,E598)</f>
        <v>0.02</v>
      </c>
      <c r="L598" s="2">
        <f>SUMIFS($T$2:$T$10,$R$2:$R$10,F598)</f>
        <v>0</v>
      </c>
      <c r="M598" s="2">
        <f>SUMIFS($V$2:$V$10,$R$2:$R$10,D598)</f>
        <v>0.09</v>
      </c>
    </row>
    <row r="599" spans="1:13" x14ac:dyDescent="0.25">
      <c r="A599" s="1">
        <f>(A$2+A$2*K599+A$2*L599)*(1+M599)</f>
        <v>691.57440000000008</v>
      </c>
      <c r="B599" s="1">
        <f>(B$2+B$2*K599+B$2*L599)*(1+M599)</f>
        <v>804.39480000000015</v>
      </c>
      <c r="C599" s="1">
        <f>(C$2+C$2*K599+C$2*L599)*(1+M599)</f>
        <v>845.42040000000009</v>
      </c>
      <c r="D599" s="1">
        <v>6</v>
      </c>
      <c r="E599" s="1">
        <v>4</v>
      </c>
      <c r="F599" s="1">
        <v>6</v>
      </c>
      <c r="G599" s="1">
        <f>SUMIFS($S$2:$S$10,$R$2:$R$10,D599)</f>
        <v>15</v>
      </c>
      <c r="H599" s="1">
        <f>SUMIFS($S$2:$S$10,$R$2:$R$10,E599)</f>
        <v>7</v>
      </c>
      <c r="I599" s="1">
        <f>SUMIFS($S$2:$S$10,$R$2:$R$10,F599)</f>
        <v>15</v>
      </c>
      <c r="J599" s="1">
        <f>SUM(G599:I599)</f>
        <v>37</v>
      </c>
      <c r="K599" s="1">
        <f>SUMIFS($U$2:$U$10,$R$2:$R$10,E599)</f>
        <v>0.05</v>
      </c>
      <c r="L599" s="1">
        <f>SUMIFS($V$2:$V$10,$R$2:$R$10,F599)</f>
        <v>0.06</v>
      </c>
      <c r="M599" s="1">
        <f>SUMIFS($T$2:$T$10,$R$2:$R$10,D599)</f>
        <v>0.32</v>
      </c>
    </row>
    <row r="600" spans="1:13" x14ac:dyDescent="0.25">
      <c r="A600" s="1">
        <f>(A$2+A$2*K600+A$2*L600)*(1+M600)</f>
        <v>704.03520000000003</v>
      </c>
      <c r="B600" s="1">
        <f>(B$2+B$2*K600+B$2*L600)*(1+M600)</f>
        <v>818.88840000000005</v>
      </c>
      <c r="C600" s="1">
        <f>(C$2+C$2*K600+C$2*L600)*(1+M600)</f>
        <v>860.65320000000008</v>
      </c>
      <c r="D600" s="1">
        <v>6</v>
      </c>
      <c r="E600" s="1">
        <v>6</v>
      </c>
      <c r="F600" s="1">
        <v>4</v>
      </c>
      <c r="G600" s="1">
        <f>SUMIFS($S$2:$S$10,$R$2:$R$10,D600)</f>
        <v>15</v>
      </c>
      <c r="H600" s="1">
        <f>SUMIFS($S$2:$S$10,$R$2:$R$10,E600)</f>
        <v>15</v>
      </c>
      <c r="I600" s="1">
        <f>SUMIFS($S$2:$S$10,$R$2:$R$10,F600)</f>
        <v>7</v>
      </c>
      <c r="J600" s="1">
        <f>SUM(G600:I600)</f>
        <v>37</v>
      </c>
      <c r="K600" s="1">
        <f>SUMIFS($U$2:$U$10,$R$2:$R$10,E600)</f>
        <v>0.09</v>
      </c>
      <c r="L600" s="1">
        <f>SUMIFS($V$2:$V$10,$R$2:$R$10,F600)</f>
        <v>0.04</v>
      </c>
      <c r="M600" s="1">
        <f>SUMIFS($T$2:$T$10,$R$2:$R$10,D600)</f>
        <v>0.32</v>
      </c>
    </row>
    <row r="601" spans="1:13" x14ac:dyDescent="0.25">
      <c r="A601" s="1">
        <f>(A$2+A$2*K601+A$2*L601)*(1+M601)</f>
        <v>698.37120000000004</v>
      </c>
      <c r="B601" s="1">
        <f>(B$2+B$2*K601+B$2*L601)*(1+M601)</f>
        <v>812.3004000000002</v>
      </c>
      <c r="C601" s="1">
        <f>(C$2+C$2*K601+C$2*L601)*(1+M601)</f>
        <v>853.72919999999999</v>
      </c>
      <c r="D601" s="1">
        <v>7</v>
      </c>
      <c r="E601" s="1">
        <v>2</v>
      </c>
      <c r="F601" s="1">
        <v>6</v>
      </c>
      <c r="G601" s="1">
        <f>SUMIFS($S$2:$S$10,$R$2:$R$10,D601)</f>
        <v>20</v>
      </c>
      <c r="H601" s="1">
        <f>SUMIFS($S$2:$S$10,$R$2:$R$10,E601)</f>
        <v>2</v>
      </c>
      <c r="I601" s="1">
        <f>SUMIFS($S$2:$S$10,$R$2:$R$10,F601)</f>
        <v>15</v>
      </c>
      <c r="J601" s="1">
        <f>SUM(G601:I601)</f>
        <v>37</v>
      </c>
      <c r="K601" s="1">
        <f>SUMIFS($U$2:$U$10,$R$2:$R$10,E601)</f>
        <v>0.02</v>
      </c>
      <c r="L601" s="1">
        <f>SUMIFS($V$2:$V$10,$R$2:$R$10,F601)</f>
        <v>0.06</v>
      </c>
      <c r="M601" s="1">
        <f>SUMIFS($T$2:$T$10,$R$2:$R$10,D601)</f>
        <v>0.37</v>
      </c>
    </row>
    <row r="602" spans="1:13" x14ac:dyDescent="0.25">
      <c r="A602" s="1">
        <f>(A$2+A$2*K602+A$2*L602)*(1+M602)</f>
        <v>711.30400000000009</v>
      </c>
      <c r="B602" s="1">
        <f>(B$2+B$2*K602+B$2*L602)*(1+M602)</f>
        <v>827.34300000000019</v>
      </c>
      <c r="C602" s="1">
        <f>(C$2+C$2*K602+C$2*L602)*(1+M602)</f>
        <v>869.5390000000001</v>
      </c>
      <c r="D602" s="1">
        <v>7</v>
      </c>
      <c r="E602" s="1">
        <v>4</v>
      </c>
      <c r="F602" s="1">
        <v>5</v>
      </c>
      <c r="G602" s="1">
        <f>SUMIFS($S$2:$S$10,$R$2:$R$10,D602)</f>
        <v>20</v>
      </c>
      <c r="H602" s="1">
        <f>SUMIFS($S$2:$S$10,$R$2:$R$10,E602)</f>
        <v>7</v>
      </c>
      <c r="I602" s="1">
        <f>SUMIFS($S$2:$S$10,$R$2:$R$10,F602)</f>
        <v>10</v>
      </c>
      <c r="J602" s="1">
        <f>SUM(G602:I602)</f>
        <v>37</v>
      </c>
      <c r="K602" s="1">
        <f>SUMIFS($U$2:$U$10,$R$2:$R$10,E602)</f>
        <v>0.05</v>
      </c>
      <c r="L602" s="1">
        <f>SUMIFS($V$2:$V$10,$R$2:$R$10,F602)</f>
        <v>0.05</v>
      </c>
      <c r="M602" s="1">
        <f>SUMIFS($T$2:$T$10,$R$2:$R$10,D602)</f>
        <v>0.37</v>
      </c>
    </row>
    <row r="603" spans="1:13" x14ac:dyDescent="0.25">
      <c r="A603" s="1">
        <f>(A$2+A$2*K603+A$2*L603)*(1+M603)</f>
        <v>717.77040000000011</v>
      </c>
      <c r="B603" s="1">
        <f>(B$2+B$2*K603+B$2*L603)*(1+M603)</f>
        <v>834.86430000000018</v>
      </c>
      <c r="C603" s="1">
        <f>(C$2+C$2*K603+C$2*L603)*(1+M603)</f>
        <v>877.4439000000001</v>
      </c>
      <c r="D603" s="1">
        <v>7</v>
      </c>
      <c r="E603" s="1">
        <v>5</v>
      </c>
      <c r="F603" s="1">
        <v>4</v>
      </c>
      <c r="G603" s="1">
        <f>SUMIFS($S$2:$S$10,$R$2:$R$10,D603)</f>
        <v>20</v>
      </c>
      <c r="H603" s="1">
        <f>SUMIFS($S$2:$S$10,$R$2:$R$10,E603)</f>
        <v>10</v>
      </c>
      <c r="I603" s="1">
        <f>SUMIFS($S$2:$S$10,$R$2:$R$10,F603)</f>
        <v>7</v>
      </c>
      <c r="J603" s="1">
        <f>SUM(G603:I603)</f>
        <v>37</v>
      </c>
      <c r="K603" s="1">
        <f>SUMIFS($U$2:$U$10,$R$2:$R$10,E603)</f>
        <v>7.0000000000000007E-2</v>
      </c>
      <c r="L603" s="1">
        <f>SUMIFS($V$2:$V$10,$R$2:$R$10,F603)</f>
        <v>0.04</v>
      </c>
      <c r="M603" s="1">
        <f>SUMIFS($T$2:$T$10,$R$2:$R$10,D603)</f>
        <v>0.37</v>
      </c>
    </row>
    <row r="604" spans="1:13" x14ac:dyDescent="0.25">
      <c r="A604" s="1">
        <f>(A$2+A$2*K604+A$2*L604)*(1+M604)</f>
        <v>717.77040000000011</v>
      </c>
      <c r="B604" s="1">
        <f>(B$2+B$2*K604+B$2*L604)*(1+M604)</f>
        <v>834.86430000000007</v>
      </c>
      <c r="C604" s="1">
        <f>(C$2+C$2*K604+C$2*L604)*(1+M604)</f>
        <v>877.44389999999999</v>
      </c>
      <c r="D604" s="1">
        <v>7</v>
      </c>
      <c r="E604" s="1">
        <v>6</v>
      </c>
      <c r="F604" s="1">
        <v>2</v>
      </c>
      <c r="G604" s="1">
        <f>SUMIFS($S$2:$S$10,$R$2:$R$10,D604)</f>
        <v>20</v>
      </c>
      <c r="H604" s="1">
        <f>SUMIFS($S$2:$S$10,$R$2:$R$10,E604)</f>
        <v>15</v>
      </c>
      <c r="I604" s="1">
        <f>SUMIFS($S$2:$S$10,$R$2:$R$10,F604)</f>
        <v>2</v>
      </c>
      <c r="J604" s="1">
        <f>SUM(G604:I604)</f>
        <v>37</v>
      </c>
      <c r="K604" s="1">
        <f>SUMIFS($U$2:$U$10,$R$2:$R$10,E604)</f>
        <v>0.09</v>
      </c>
      <c r="L604" s="1">
        <f>SUMIFS($V$2:$V$10,$R$2:$R$10,F604)</f>
        <v>0.02</v>
      </c>
      <c r="M604" s="1">
        <f>SUMIFS($T$2:$T$10,$R$2:$R$10,D604)</f>
        <v>0.37</v>
      </c>
    </row>
    <row r="605" spans="1:13" x14ac:dyDescent="0.25">
      <c r="A605" s="1">
        <f>(A$2+A$2*K605+A$2*L605)*(1+M605)</f>
        <v>708.70799999999997</v>
      </c>
      <c r="B605" s="1">
        <f>(B$2+B$2*K605+B$2*L605)*(1+M605)</f>
        <v>824.32350000000008</v>
      </c>
      <c r="C605" s="1">
        <f>(C$2+C$2*K605+C$2*L605)*(1+M605)</f>
        <v>866.3655</v>
      </c>
      <c r="D605" s="1">
        <v>8</v>
      </c>
      <c r="E605" s="1">
        <v>0</v>
      </c>
      <c r="F605" s="1">
        <v>5</v>
      </c>
      <c r="G605" s="1">
        <f>SUMIFS($S$2:$S$10,$R$2:$R$10,D605)</f>
        <v>27</v>
      </c>
      <c r="H605" s="1">
        <f>SUMIFS($S$2:$S$10,$R$2:$R$10,E605)</f>
        <v>0</v>
      </c>
      <c r="I605" s="1">
        <f>SUMIFS($S$2:$S$10,$R$2:$R$10,F605)</f>
        <v>10</v>
      </c>
      <c r="J605" s="1">
        <f>SUM(G605:I605)</f>
        <v>37</v>
      </c>
      <c r="K605" s="1">
        <f>SUMIFS($U$2:$U$10,$R$2:$R$10,E605)</f>
        <v>0</v>
      </c>
      <c r="L605" s="1">
        <f>SUMIFS($V$2:$V$10,$R$2:$R$10,F605)</f>
        <v>0.05</v>
      </c>
      <c r="M605" s="1">
        <f>SUMIFS($T$2:$T$10,$R$2:$R$10,D605)</f>
        <v>0.43</v>
      </c>
    </row>
    <row r="606" spans="1:13" x14ac:dyDescent="0.25">
      <c r="A606" s="1">
        <f>(A$2+A$2*K606+A$2*L606)*(1+M606)</f>
        <v>722.20719999999994</v>
      </c>
      <c r="B606" s="1">
        <f>(B$2+B$2*K606+B$2*L606)*(1+M606)</f>
        <v>840.0249</v>
      </c>
      <c r="C606" s="1">
        <f>(C$2+C$2*K606+C$2*L606)*(1+M606)</f>
        <v>882.8676999999999</v>
      </c>
      <c r="D606" s="1">
        <v>8</v>
      </c>
      <c r="E606" s="1">
        <v>5</v>
      </c>
      <c r="F606" s="1">
        <v>0</v>
      </c>
      <c r="G606" s="1">
        <f>SUMIFS($S$2:$S$10,$R$2:$R$10,D606)</f>
        <v>27</v>
      </c>
      <c r="H606" s="1">
        <f>SUMIFS($S$2:$S$10,$R$2:$R$10,E606)</f>
        <v>10</v>
      </c>
      <c r="I606" s="1">
        <f>SUMIFS($S$2:$S$10,$R$2:$R$10,F606)</f>
        <v>0</v>
      </c>
      <c r="J606" s="1">
        <f>SUM(G606:I606)</f>
        <v>37</v>
      </c>
      <c r="K606" s="1">
        <f>SUMIFS($U$2:$U$10,$R$2:$R$10,E606)</f>
        <v>7.0000000000000007E-2</v>
      </c>
      <c r="L606" s="1">
        <f>SUMIFS($V$2:$V$10,$R$2:$R$10,F606)</f>
        <v>0</v>
      </c>
      <c r="M606" s="1">
        <f>SUMIFS($T$2:$T$10,$R$2:$R$10,D606)</f>
        <v>0.43</v>
      </c>
    </row>
    <row r="607" spans="1:13" x14ac:dyDescent="0.25">
      <c r="A607" s="1">
        <f>(A$2+A$2*K607+A$2*L607)*(1+M607)</f>
        <v>724.37840000000006</v>
      </c>
      <c r="B607" s="1">
        <f>(B$2+B$2*K607+B$2*L607)*(1+M607)</f>
        <v>842.55029999999999</v>
      </c>
      <c r="C607" s="1">
        <f>(C$2+C$2*K607+C$2*L607)*(1+M607)</f>
        <v>885.52189999999996</v>
      </c>
      <c r="D607" s="1">
        <v>9</v>
      </c>
      <c r="E607" s="1">
        <v>1</v>
      </c>
      <c r="F607" s="1">
        <v>2</v>
      </c>
      <c r="G607" s="1">
        <f>SUMIFS($S$2:$S$10,$R$2:$R$10,D607)</f>
        <v>34</v>
      </c>
      <c r="H607" s="1">
        <f>SUMIFS($S$2:$S$10,$R$2:$R$10,E607)</f>
        <v>1</v>
      </c>
      <c r="I607" s="1">
        <f>SUMIFS($S$2:$S$10,$R$2:$R$10,F607)</f>
        <v>2</v>
      </c>
      <c r="J607" s="1">
        <f>SUM(G607:I607)</f>
        <v>37</v>
      </c>
      <c r="K607" s="1">
        <f>SUMIFS($U$2:$U$10,$R$2:$R$10,E607)</f>
        <v>0.01</v>
      </c>
      <c r="L607" s="1">
        <f>SUMIFS($V$2:$V$10,$R$2:$R$10,F607)</f>
        <v>0.02</v>
      </c>
      <c r="M607" s="1">
        <f>SUMIFS($T$2:$T$10,$R$2:$R$10,D607)</f>
        <v>0.49</v>
      </c>
    </row>
    <row r="608" spans="1:13" x14ac:dyDescent="0.25">
      <c r="A608" s="1">
        <f>(A$2+A$2*K608+A$2*L608)*(1+M608)</f>
        <v>724.37840000000006</v>
      </c>
      <c r="B608" s="1">
        <f>(B$2+B$2*K608+B$2*L608)*(1+M608)</f>
        <v>842.55029999999999</v>
      </c>
      <c r="C608" s="1">
        <f>(C$2+C$2*K608+C$2*L608)*(1+M608)</f>
        <v>885.52189999999996</v>
      </c>
      <c r="D608" s="1">
        <v>9</v>
      </c>
      <c r="E608" s="1">
        <v>2</v>
      </c>
      <c r="F608" s="1">
        <v>1</v>
      </c>
      <c r="G608" s="1">
        <f>SUMIFS($S$2:$S$10,$R$2:$R$10,D608)</f>
        <v>34</v>
      </c>
      <c r="H608" s="1">
        <f>SUMIFS($S$2:$S$10,$R$2:$R$10,E608)</f>
        <v>2</v>
      </c>
      <c r="I608" s="1">
        <f>SUMIFS($S$2:$S$10,$R$2:$R$10,F608)</f>
        <v>1</v>
      </c>
      <c r="J608" s="1">
        <f>SUM(G608:I608)</f>
        <v>37</v>
      </c>
      <c r="K608" s="1">
        <f>SUMIFS($U$2:$U$10,$R$2:$R$10,E608)</f>
        <v>0.02</v>
      </c>
      <c r="L608" s="1">
        <f>SUMIFS($V$2:$V$10,$R$2:$R$10,F608)</f>
        <v>0.01</v>
      </c>
      <c r="M608" s="1">
        <f>SUMIFS($T$2:$T$10,$R$2:$R$10,D608)</f>
        <v>0.49</v>
      </c>
    </row>
    <row r="609" spans="1:13" x14ac:dyDescent="0.25">
      <c r="A609" s="3">
        <f>(A$2+A$2*M609+A$2*L609)*(1+K609)</f>
        <v>662.21600000000012</v>
      </c>
      <c r="B609" s="3">
        <f>(B$2+B$2*M609+B$2*L609)*(1+K609)</f>
        <v>770.24699999999984</v>
      </c>
      <c r="C609" s="3">
        <f>(C$2+C$2*M609+C$2*L609)*(1+K609)</f>
        <v>809.53099999999995</v>
      </c>
      <c r="D609" s="3">
        <v>6</v>
      </c>
      <c r="E609" s="3">
        <v>4</v>
      </c>
      <c r="F609" s="3">
        <v>6</v>
      </c>
      <c r="G609" s="3">
        <f>SUMIFS($S$2:$S$10,$R$2:$R$10,D609)</f>
        <v>15</v>
      </c>
      <c r="H609" s="3">
        <f>SUMIFS($S$2:$S$10,$R$2:$R$10,E609)</f>
        <v>7</v>
      </c>
      <c r="I609" s="3">
        <f>SUMIFS($S$2:$S$10,$R$2:$R$10,F609)</f>
        <v>15</v>
      </c>
      <c r="J609" s="3">
        <f>SUM(G609:I609)</f>
        <v>37</v>
      </c>
      <c r="K609" s="3">
        <f>SUMIFS($T$2:$T$10,$R$2:$R$10,E609)</f>
        <v>0.22</v>
      </c>
      <c r="L609" s="3">
        <f>SUMIFS($V$2:$V$10,$R$2:$R$10,F609)</f>
        <v>0.06</v>
      </c>
      <c r="M609" s="3">
        <f>SUMIFS($U$2:$U$10,$R$2:$R$10,D609)</f>
        <v>0.09</v>
      </c>
    </row>
    <row r="610" spans="1:13" x14ac:dyDescent="0.25">
      <c r="A610" s="3">
        <f>(A$2+A$2*M610+A$2*L610)*(1+K610)</f>
        <v>704.03520000000003</v>
      </c>
      <c r="B610" s="3">
        <f>(B$2+B$2*M610+B$2*L610)*(1+K610)</f>
        <v>818.88840000000005</v>
      </c>
      <c r="C610" s="3">
        <f>(C$2+C$2*M610+C$2*L610)*(1+K610)</f>
        <v>860.65320000000008</v>
      </c>
      <c r="D610" s="3">
        <v>6</v>
      </c>
      <c r="E610" s="3">
        <v>6</v>
      </c>
      <c r="F610" s="3">
        <v>4</v>
      </c>
      <c r="G610" s="3">
        <f>SUMIFS($S$2:$S$10,$R$2:$R$10,D610)</f>
        <v>15</v>
      </c>
      <c r="H610" s="3">
        <f>SUMIFS($S$2:$S$10,$R$2:$R$10,E610)</f>
        <v>15</v>
      </c>
      <c r="I610" s="3">
        <f>SUMIFS($S$2:$S$10,$R$2:$R$10,F610)</f>
        <v>7</v>
      </c>
      <c r="J610" s="3">
        <f>SUM(G610:I610)</f>
        <v>37</v>
      </c>
      <c r="K610" s="3">
        <f>SUMIFS($T$2:$T$10,$R$2:$R$10,E610)</f>
        <v>0.32</v>
      </c>
      <c r="L610" s="3">
        <f>SUMIFS($V$2:$V$10,$R$2:$R$10,F610)</f>
        <v>0.04</v>
      </c>
      <c r="M610" s="3">
        <f>SUMIFS($U$2:$U$10,$R$2:$R$10,D610)</f>
        <v>0.09</v>
      </c>
    </row>
    <row r="611" spans="1:13" x14ac:dyDescent="0.25">
      <c r="A611" s="3">
        <f>(A$2+A$2*M611+A$2*L611)*(1+K611)</f>
        <v>640.59839999999997</v>
      </c>
      <c r="B611" s="3">
        <f>(B$2+B$2*M611+B$2*L611)*(1+K611)</f>
        <v>745.10279999999989</v>
      </c>
      <c r="C611" s="3">
        <f>(C$2+C$2*M611+C$2*L611)*(1+K611)</f>
        <v>783.10439999999994</v>
      </c>
      <c r="D611" s="3">
        <v>7</v>
      </c>
      <c r="E611" s="3">
        <v>2</v>
      </c>
      <c r="F611" s="3">
        <v>6</v>
      </c>
      <c r="G611" s="3">
        <f>SUMIFS($S$2:$S$10,$R$2:$R$10,D611)</f>
        <v>20</v>
      </c>
      <c r="H611" s="3">
        <f>SUMIFS($S$2:$S$10,$R$2:$R$10,E611)</f>
        <v>2</v>
      </c>
      <c r="I611" s="3">
        <f>SUMIFS($S$2:$S$10,$R$2:$R$10,F611)</f>
        <v>15</v>
      </c>
      <c r="J611" s="3">
        <f>SUM(G611:I611)</f>
        <v>37</v>
      </c>
      <c r="K611" s="3">
        <f>SUMIFS($T$2:$T$10,$R$2:$R$10,E611)</f>
        <v>0.16</v>
      </c>
      <c r="L611" s="3">
        <f>SUMIFS($V$2:$V$10,$R$2:$R$10,F611)</f>
        <v>0.06</v>
      </c>
      <c r="M611" s="3">
        <f>SUMIFS($U$2:$U$10,$R$2:$R$10,D611)</f>
        <v>0.11</v>
      </c>
    </row>
    <row r="612" spans="1:13" x14ac:dyDescent="0.25">
      <c r="A612" s="3">
        <f>(A$2+A$2*M612+A$2*L612)*(1+K612)</f>
        <v>667.97439999999995</v>
      </c>
      <c r="B612" s="3">
        <f>(B$2+B$2*M612+B$2*L612)*(1+K612)</f>
        <v>776.94479999999999</v>
      </c>
      <c r="C612" s="3">
        <f>(C$2+C$2*M612+C$2*L612)*(1+K612)</f>
        <v>816.57040000000006</v>
      </c>
      <c r="D612" s="3">
        <v>7</v>
      </c>
      <c r="E612" s="3">
        <v>4</v>
      </c>
      <c r="F612" s="3">
        <v>5</v>
      </c>
      <c r="G612" s="3">
        <f>SUMIFS($S$2:$S$10,$R$2:$R$10,D612)</f>
        <v>20</v>
      </c>
      <c r="H612" s="3">
        <f>SUMIFS($S$2:$S$10,$R$2:$R$10,E612)</f>
        <v>7</v>
      </c>
      <c r="I612" s="3">
        <f>SUMIFS($S$2:$S$10,$R$2:$R$10,F612)</f>
        <v>10</v>
      </c>
      <c r="J612" s="3">
        <f>SUM(G612:I612)</f>
        <v>37</v>
      </c>
      <c r="K612" s="3">
        <f>SUMIFS($T$2:$T$10,$R$2:$R$10,E612)</f>
        <v>0.22</v>
      </c>
      <c r="L612" s="3">
        <f>SUMIFS($V$2:$V$10,$R$2:$R$10,F612)</f>
        <v>0.05</v>
      </c>
      <c r="M612" s="3">
        <f>SUMIFS($U$2:$U$10,$R$2:$R$10,D612)</f>
        <v>0.11</v>
      </c>
    </row>
    <row r="613" spans="1:13" x14ac:dyDescent="0.25">
      <c r="A613" s="3">
        <f>(A$2+A$2*M613+A$2*L613)*(1+K613)</f>
        <v>689.35599999999999</v>
      </c>
      <c r="B613" s="3">
        <f>(B$2+B$2*M613+B$2*L613)*(1+K613)</f>
        <v>801.81450000000007</v>
      </c>
      <c r="C613" s="3">
        <f>(C$2+C$2*M613+C$2*L613)*(1+K613)</f>
        <v>842.70850000000007</v>
      </c>
      <c r="D613" s="3">
        <v>7</v>
      </c>
      <c r="E613" s="3">
        <v>5</v>
      </c>
      <c r="F613" s="3">
        <v>4</v>
      </c>
      <c r="G613" s="3">
        <f>SUMIFS($S$2:$S$10,$R$2:$R$10,D613)</f>
        <v>20</v>
      </c>
      <c r="H613" s="3">
        <f>SUMIFS($S$2:$S$10,$R$2:$R$10,E613)</f>
        <v>10</v>
      </c>
      <c r="I613" s="3">
        <f>SUMIFS($S$2:$S$10,$R$2:$R$10,F613)</f>
        <v>7</v>
      </c>
      <c r="J613" s="3">
        <f>SUM(G613:I613)</f>
        <v>37</v>
      </c>
      <c r="K613" s="3">
        <f>SUMIFS($T$2:$T$10,$R$2:$R$10,E613)</f>
        <v>0.27</v>
      </c>
      <c r="L613" s="3">
        <f>SUMIFS($V$2:$V$10,$R$2:$R$10,F613)</f>
        <v>0.04</v>
      </c>
      <c r="M613" s="3">
        <f>SUMIFS($U$2:$U$10,$R$2:$R$10,D613)</f>
        <v>0.11</v>
      </c>
    </row>
    <row r="614" spans="1:13" x14ac:dyDescent="0.25">
      <c r="A614" s="3">
        <f>(A$2+A$2*M614+A$2*L614)*(1+K614)</f>
        <v>704.03520000000003</v>
      </c>
      <c r="B614" s="3">
        <f>(B$2+B$2*M614+B$2*L614)*(1+K614)</f>
        <v>818.88840000000005</v>
      </c>
      <c r="C614" s="3">
        <f>(C$2+C$2*M614+C$2*L614)*(1+K614)</f>
        <v>860.65320000000008</v>
      </c>
      <c r="D614" s="3">
        <v>7</v>
      </c>
      <c r="E614" s="3">
        <v>6</v>
      </c>
      <c r="F614" s="3">
        <v>2</v>
      </c>
      <c r="G614" s="3">
        <f>SUMIFS($S$2:$S$10,$R$2:$R$10,D614)</f>
        <v>20</v>
      </c>
      <c r="H614" s="3">
        <f>SUMIFS($S$2:$S$10,$R$2:$R$10,E614)</f>
        <v>15</v>
      </c>
      <c r="I614" s="3">
        <f>SUMIFS($S$2:$S$10,$R$2:$R$10,F614)</f>
        <v>2</v>
      </c>
      <c r="J614" s="3">
        <f>SUM(G614:I614)</f>
        <v>37</v>
      </c>
      <c r="K614" s="3">
        <f>SUMIFS($T$2:$T$10,$R$2:$R$10,E614)</f>
        <v>0.32</v>
      </c>
      <c r="L614" s="3">
        <f>SUMIFS($V$2:$V$10,$R$2:$R$10,F614)</f>
        <v>0.02</v>
      </c>
      <c r="M614" s="3">
        <f>SUMIFS($U$2:$U$10,$R$2:$R$10,D614)</f>
        <v>0.11</v>
      </c>
    </row>
    <row r="615" spans="1:13" x14ac:dyDescent="0.25">
      <c r="A615" s="3">
        <f>(A$2+A$2*M615+A$2*L615)*(1+K615)</f>
        <v>556.96</v>
      </c>
      <c r="B615" s="3">
        <f>(B$2+B$2*M615+B$2*L615)*(1+K615)</f>
        <v>647.82000000000005</v>
      </c>
      <c r="C615" s="3">
        <f>(C$2+C$2*M615+C$2*L615)*(1+K615)</f>
        <v>680.86</v>
      </c>
      <c r="D615" s="3">
        <v>8</v>
      </c>
      <c r="E615" s="3">
        <v>0</v>
      </c>
      <c r="F615" s="3">
        <v>5</v>
      </c>
      <c r="G615" s="3">
        <f>SUMIFS($S$2:$S$10,$R$2:$R$10,D615)</f>
        <v>27</v>
      </c>
      <c r="H615" s="3">
        <f>SUMIFS($S$2:$S$10,$R$2:$R$10,E615)</f>
        <v>0</v>
      </c>
      <c r="I615" s="3">
        <f>SUMIFS($S$2:$S$10,$R$2:$R$10,F615)</f>
        <v>10</v>
      </c>
      <c r="J615" s="3">
        <f>SUM(G615:I615)</f>
        <v>37</v>
      </c>
      <c r="K615" s="3">
        <f>SUMIFS($T$2:$T$10,$R$2:$R$10,E615)</f>
        <v>0</v>
      </c>
      <c r="L615" s="3">
        <f>SUMIFS($V$2:$V$10,$R$2:$R$10,F615)</f>
        <v>0.05</v>
      </c>
      <c r="M615" s="3">
        <f>SUMIFS($U$2:$U$10,$R$2:$R$10,D615)</f>
        <v>0.13</v>
      </c>
    </row>
    <row r="616" spans="1:13" x14ac:dyDescent="0.25">
      <c r="A616" s="3">
        <f>(A$2+A$2*M616+A$2*L616)*(1+K616)</f>
        <v>677.36720000000003</v>
      </c>
      <c r="B616" s="3">
        <f>(B$2+B$2*M616+B$2*L616)*(1+K616)</f>
        <v>787.86990000000003</v>
      </c>
      <c r="C616" s="3">
        <f>(C$2+C$2*M616+C$2*L616)*(1+K616)</f>
        <v>828.05269999999996</v>
      </c>
      <c r="D616" s="3">
        <v>8</v>
      </c>
      <c r="E616" s="3">
        <v>5</v>
      </c>
      <c r="F616" s="3">
        <v>0</v>
      </c>
      <c r="G616" s="3">
        <f>SUMIFS($S$2:$S$10,$R$2:$R$10,D616)</f>
        <v>27</v>
      </c>
      <c r="H616" s="3">
        <f>SUMIFS($S$2:$S$10,$R$2:$R$10,E616)</f>
        <v>10</v>
      </c>
      <c r="I616" s="3">
        <f>SUMIFS($S$2:$S$10,$R$2:$R$10,F616)</f>
        <v>0</v>
      </c>
      <c r="J616" s="3">
        <f>SUM(G616:I616)</f>
        <v>37</v>
      </c>
      <c r="K616" s="3">
        <f>SUMIFS($T$2:$T$10,$R$2:$R$10,E616)</f>
        <v>0.27</v>
      </c>
      <c r="L616" s="3">
        <f>SUMIFS($V$2:$V$10,$R$2:$R$10,F616)</f>
        <v>0</v>
      </c>
      <c r="M616" s="3">
        <f>SUMIFS($U$2:$U$10,$R$2:$R$10,D616)</f>
        <v>0.13</v>
      </c>
    </row>
    <row r="617" spans="1:13" x14ac:dyDescent="0.25">
      <c r="A617" s="3">
        <f>(A$2+A$2*M617+A$2*L617)*(1+K617)</f>
        <v>624.0311999999999</v>
      </c>
      <c r="B617" s="3">
        <f>(B$2+B$2*M617+B$2*L617)*(1+K617)</f>
        <v>725.8329</v>
      </c>
      <c r="C617" s="3">
        <f>(C$2+C$2*M617+C$2*L617)*(1+K617)</f>
        <v>762.85169999999982</v>
      </c>
      <c r="D617" s="3">
        <v>9</v>
      </c>
      <c r="E617" s="3">
        <v>1</v>
      </c>
      <c r="F617" s="3">
        <v>2</v>
      </c>
      <c r="G617" s="3">
        <f>SUMIFS($S$2:$S$10,$R$2:$R$10,D617)</f>
        <v>34</v>
      </c>
      <c r="H617" s="3">
        <f>SUMIFS($S$2:$S$10,$R$2:$R$10,E617)</f>
        <v>1</v>
      </c>
      <c r="I617" s="3">
        <f>SUMIFS($S$2:$S$10,$R$2:$R$10,F617)</f>
        <v>2</v>
      </c>
      <c r="J617" s="3">
        <f>SUM(G617:I617)</f>
        <v>37</v>
      </c>
      <c r="K617" s="3">
        <f>SUMIFS($T$2:$T$10,$R$2:$R$10,E617)</f>
        <v>0.13</v>
      </c>
      <c r="L617" s="3">
        <f>SUMIFS($V$2:$V$10,$R$2:$R$10,F617)</f>
        <v>0.02</v>
      </c>
      <c r="M617" s="3">
        <f>SUMIFS($U$2:$U$10,$R$2:$R$10,D617)</f>
        <v>0.15</v>
      </c>
    </row>
    <row r="618" spans="1:13" x14ac:dyDescent="0.25">
      <c r="A618" s="3">
        <f>(A$2+A$2*M618+A$2*L618)*(1+K618)</f>
        <v>635.12319999999988</v>
      </c>
      <c r="B618" s="3">
        <f>(B$2+B$2*M618+B$2*L618)*(1+K618)</f>
        <v>738.73439999999994</v>
      </c>
      <c r="C618" s="3">
        <f>(C$2+C$2*M618+C$2*L618)*(1+K618)</f>
        <v>776.41119999999989</v>
      </c>
      <c r="D618" s="3">
        <v>9</v>
      </c>
      <c r="E618" s="3">
        <v>2</v>
      </c>
      <c r="F618" s="3">
        <v>1</v>
      </c>
      <c r="G618" s="3">
        <f>SUMIFS($S$2:$S$10,$R$2:$R$10,D618)</f>
        <v>34</v>
      </c>
      <c r="H618" s="3">
        <f>SUMIFS($S$2:$S$10,$R$2:$R$10,E618)</f>
        <v>2</v>
      </c>
      <c r="I618" s="3">
        <f>SUMIFS($S$2:$S$10,$R$2:$R$10,F618)</f>
        <v>1</v>
      </c>
      <c r="J618" s="3">
        <f>SUM(G618:I618)</f>
        <v>37</v>
      </c>
      <c r="K618" s="3">
        <f>SUMIFS($T$2:$T$10,$R$2:$R$10,E618)</f>
        <v>0.16</v>
      </c>
      <c r="L618" s="3">
        <f>SUMIFS($V$2:$V$10,$R$2:$R$10,F618)</f>
        <v>0.01</v>
      </c>
      <c r="M618" s="3">
        <f>SUMIFS($U$2:$U$10,$R$2:$R$10,D618)</f>
        <v>0.15</v>
      </c>
    </row>
    <row r="619" spans="1:13" x14ac:dyDescent="0.25">
      <c r="A619" s="2">
        <f>(A$2+A$2*K619+A$2*M619)*(1+L619)</f>
        <v>691.57440000000008</v>
      </c>
      <c r="B619" s="2">
        <f>(B$2+B$2*K619+B$2*M619)*(1+L619)</f>
        <v>804.39480000000015</v>
      </c>
      <c r="C619" s="2">
        <f>(C$2+C$2*K619+C$2*M619)*(1+L619)</f>
        <v>845.42040000000009</v>
      </c>
      <c r="D619" s="2">
        <v>6</v>
      </c>
      <c r="E619" s="2">
        <v>4</v>
      </c>
      <c r="F619" s="2">
        <v>6</v>
      </c>
      <c r="G619" s="2">
        <f>SUMIFS($S$2:$S$10,$R$2:$R$10,D619)</f>
        <v>15</v>
      </c>
      <c r="H619" s="2">
        <f>SUMIFS($S$2:$S$10,$R$2:$R$10,E619)</f>
        <v>7</v>
      </c>
      <c r="I619" s="2">
        <f>SUMIFS($S$2:$S$10,$R$2:$R$10,F619)</f>
        <v>15</v>
      </c>
      <c r="J619" s="2">
        <f>SUM(G619:I619)</f>
        <v>37</v>
      </c>
      <c r="K619" s="2">
        <f>SUMIFS($U$2:$U$10,$R$2:$R$10,E619)</f>
        <v>0.05</v>
      </c>
      <c r="L619" s="2">
        <f>SUMIFS($T$2:$T$10,$R$2:$R$10,F619)</f>
        <v>0.32</v>
      </c>
      <c r="M619" s="2">
        <f>SUMIFS($V$2:$V$10,$R$2:$R$10,D619)</f>
        <v>0.06</v>
      </c>
    </row>
    <row r="620" spans="1:13" x14ac:dyDescent="0.25">
      <c r="A620" s="2">
        <f>(A$2+A$2*K620+A$2*M620)*(1+L620)</f>
        <v>662.21600000000012</v>
      </c>
      <c r="B620" s="2">
        <f>(B$2+B$2*K620+B$2*M620)*(1+L620)</f>
        <v>770.24699999999984</v>
      </c>
      <c r="C620" s="2">
        <f>(C$2+C$2*K620+C$2*M620)*(1+L620)</f>
        <v>809.53099999999995</v>
      </c>
      <c r="D620" s="2">
        <v>6</v>
      </c>
      <c r="E620" s="2">
        <v>6</v>
      </c>
      <c r="F620" s="2">
        <v>4</v>
      </c>
      <c r="G620" s="2">
        <f>SUMIFS($S$2:$S$10,$R$2:$R$10,D620)</f>
        <v>15</v>
      </c>
      <c r="H620" s="2">
        <f>SUMIFS($S$2:$S$10,$R$2:$R$10,E620)</f>
        <v>15</v>
      </c>
      <c r="I620" s="2">
        <f>SUMIFS($S$2:$S$10,$R$2:$R$10,F620)</f>
        <v>7</v>
      </c>
      <c r="J620" s="2">
        <f>SUM(G620:I620)</f>
        <v>37</v>
      </c>
      <c r="K620" s="2">
        <f>SUMIFS($U$2:$U$10,$R$2:$R$10,E620)</f>
        <v>0.09</v>
      </c>
      <c r="L620" s="2">
        <f>SUMIFS($T$2:$T$10,$R$2:$R$10,F620)</f>
        <v>0.22</v>
      </c>
      <c r="M620" s="2">
        <f>SUMIFS($V$2:$V$10,$R$2:$R$10,D620)</f>
        <v>0.06</v>
      </c>
    </row>
    <row r="621" spans="1:13" x14ac:dyDescent="0.25">
      <c r="A621" s="2">
        <f>(A$2+A$2*K621+A$2*M621)*(1+L621)</f>
        <v>679.11360000000002</v>
      </c>
      <c r="B621" s="2">
        <f>(B$2+B$2*K621+B$2*M621)*(1+L621)</f>
        <v>789.90120000000013</v>
      </c>
      <c r="C621" s="2">
        <f>(C$2+C$2*K621+C$2*M621)*(1+L621)</f>
        <v>830.18759999999997</v>
      </c>
      <c r="D621" s="2">
        <v>7</v>
      </c>
      <c r="E621" s="2">
        <v>2</v>
      </c>
      <c r="F621" s="2">
        <v>6</v>
      </c>
      <c r="G621" s="2">
        <f>SUMIFS($S$2:$S$10,$R$2:$R$10,D621)</f>
        <v>20</v>
      </c>
      <c r="H621" s="2">
        <f>SUMIFS($S$2:$S$10,$R$2:$R$10,E621)</f>
        <v>2</v>
      </c>
      <c r="I621" s="2">
        <f>SUMIFS($S$2:$S$10,$R$2:$R$10,F621)</f>
        <v>15</v>
      </c>
      <c r="J621" s="2">
        <f>SUM(G621:I621)</f>
        <v>37</v>
      </c>
      <c r="K621" s="2">
        <f>SUMIFS($U$2:$U$10,$R$2:$R$10,E621)</f>
        <v>0.02</v>
      </c>
      <c r="L621" s="2">
        <f>SUMIFS($T$2:$T$10,$R$2:$R$10,F621)</f>
        <v>0.32</v>
      </c>
      <c r="M621" s="2">
        <f>SUMIFS($V$2:$V$10,$R$2:$R$10,D621)</f>
        <v>7.0000000000000007E-2</v>
      </c>
    </row>
    <row r="622" spans="1:13" x14ac:dyDescent="0.25">
      <c r="A622" s="2">
        <f>(A$2+A$2*K622+A$2*M622)*(1+L622)</f>
        <v>671.37279999999998</v>
      </c>
      <c r="B622" s="2">
        <f>(B$2+B$2*K622+B$2*M622)*(1+L622)</f>
        <v>780.89760000000012</v>
      </c>
      <c r="C622" s="2">
        <f>(C$2+C$2*K622+C$2*M622)*(1+L622)</f>
        <v>820.72480000000007</v>
      </c>
      <c r="D622" s="2">
        <v>7</v>
      </c>
      <c r="E622" s="2">
        <v>4</v>
      </c>
      <c r="F622" s="2">
        <v>5</v>
      </c>
      <c r="G622" s="2">
        <f>SUMIFS($S$2:$S$10,$R$2:$R$10,D622)</f>
        <v>20</v>
      </c>
      <c r="H622" s="2">
        <f>SUMIFS($S$2:$S$10,$R$2:$R$10,E622)</f>
        <v>7</v>
      </c>
      <c r="I622" s="2">
        <f>SUMIFS($S$2:$S$10,$R$2:$R$10,F622)</f>
        <v>10</v>
      </c>
      <c r="J622" s="2">
        <f>SUM(G622:I622)</f>
        <v>37</v>
      </c>
      <c r="K622" s="2">
        <f>SUMIFS($U$2:$U$10,$R$2:$R$10,E622)</f>
        <v>0.05</v>
      </c>
      <c r="L622" s="2">
        <f>SUMIFS($T$2:$T$10,$R$2:$R$10,F622)</f>
        <v>0.27</v>
      </c>
      <c r="M622" s="2">
        <f>SUMIFS($V$2:$V$10,$R$2:$R$10,D622)</f>
        <v>7.0000000000000007E-2</v>
      </c>
    </row>
    <row r="623" spans="1:13" x14ac:dyDescent="0.25">
      <c r="A623" s="2">
        <f>(A$2+A$2*K623+A$2*M623)*(1+L623)</f>
        <v>656.45760000000007</v>
      </c>
      <c r="B623" s="2">
        <f>(B$2+B$2*K623+B$2*M623)*(1+L623)</f>
        <v>763.54920000000016</v>
      </c>
      <c r="C623" s="2">
        <f>(C$2+C$2*K623+C$2*M623)*(1+L623)</f>
        <v>802.49159999999995</v>
      </c>
      <c r="D623" s="2">
        <v>7</v>
      </c>
      <c r="E623" s="2">
        <v>5</v>
      </c>
      <c r="F623" s="2">
        <v>4</v>
      </c>
      <c r="G623" s="2">
        <f>SUMIFS($S$2:$S$10,$R$2:$R$10,D623)</f>
        <v>20</v>
      </c>
      <c r="H623" s="2">
        <f>SUMIFS($S$2:$S$10,$R$2:$R$10,E623)</f>
        <v>10</v>
      </c>
      <c r="I623" s="2">
        <f>SUMIFS($S$2:$S$10,$R$2:$R$10,F623)</f>
        <v>7</v>
      </c>
      <c r="J623" s="2">
        <f>SUM(G623:I623)</f>
        <v>37</v>
      </c>
      <c r="K623" s="2">
        <f>SUMIFS($U$2:$U$10,$R$2:$R$10,E623)</f>
        <v>7.0000000000000007E-2</v>
      </c>
      <c r="L623" s="2">
        <f>SUMIFS($T$2:$T$10,$R$2:$R$10,F623)</f>
        <v>0.22</v>
      </c>
      <c r="M623" s="2">
        <f>SUMIFS($V$2:$V$10,$R$2:$R$10,D623)</f>
        <v>7.0000000000000007E-2</v>
      </c>
    </row>
    <row r="624" spans="1:13" x14ac:dyDescent="0.25">
      <c r="A624" s="2">
        <f>(A$2+A$2*K624+A$2*M624)*(1+L624)</f>
        <v>635.12319999999988</v>
      </c>
      <c r="B624" s="2">
        <f>(B$2+B$2*K624+B$2*M624)*(1+L624)</f>
        <v>738.73439999999982</v>
      </c>
      <c r="C624" s="2">
        <f>(C$2+C$2*K624+C$2*M624)*(1+L624)</f>
        <v>776.41119999999989</v>
      </c>
      <c r="D624" s="2">
        <v>7</v>
      </c>
      <c r="E624" s="2">
        <v>6</v>
      </c>
      <c r="F624" s="2">
        <v>2</v>
      </c>
      <c r="G624" s="2">
        <f>SUMIFS($S$2:$S$10,$R$2:$R$10,D624)</f>
        <v>20</v>
      </c>
      <c r="H624" s="2">
        <f>SUMIFS($S$2:$S$10,$R$2:$R$10,E624)</f>
        <v>15</v>
      </c>
      <c r="I624" s="2">
        <f>SUMIFS($S$2:$S$10,$R$2:$R$10,F624)</f>
        <v>2</v>
      </c>
      <c r="J624" s="2">
        <f>SUM(G624:I624)</f>
        <v>37</v>
      </c>
      <c r="K624" s="2">
        <f>SUMIFS($U$2:$U$10,$R$2:$R$10,E624)</f>
        <v>0.09</v>
      </c>
      <c r="L624" s="2">
        <f>SUMIFS($T$2:$T$10,$R$2:$R$10,F624)</f>
        <v>0.16</v>
      </c>
      <c r="M624" s="2">
        <f>SUMIFS($V$2:$V$10,$R$2:$R$10,D624)</f>
        <v>7.0000000000000007E-2</v>
      </c>
    </row>
    <row r="625" spans="1:13" x14ac:dyDescent="0.25">
      <c r="A625" s="2">
        <f>(A$2+A$2*K625+A$2*M625)*(1+L625)</f>
        <v>647.39520000000005</v>
      </c>
      <c r="B625" s="2">
        <f>(B$2+B$2*K625+B$2*M625)*(1+L625)</f>
        <v>753.00839999999994</v>
      </c>
      <c r="C625" s="2">
        <f>(C$2+C$2*K625+C$2*M625)*(1+L625)</f>
        <v>791.41319999999996</v>
      </c>
      <c r="D625" s="2">
        <v>8</v>
      </c>
      <c r="E625" s="2">
        <v>0</v>
      </c>
      <c r="F625" s="2">
        <v>5</v>
      </c>
      <c r="G625" s="2">
        <f>SUMIFS($S$2:$S$10,$R$2:$R$10,D625)</f>
        <v>27</v>
      </c>
      <c r="H625" s="2">
        <f>SUMIFS($S$2:$S$10,$R$2:$R$10,E625)</f>
        <v>0</v>
      </c>
      <c r="I625" s="2">
        <f>SUMIFS($S$2:$S$10,$R$2:$R$10,F625)</f>
        <v>10</v>
      </c>
      <c r="J625" s="2">
        <f>SUM(G625:I625)</f>
        <v>37</v>
      </c>
      <c r="K625" s="2">
        <f>SUMIFS($U$2:$U$10,$R$2:$R$10,E625)</f>
        <v>0</v>
      </c>
      <c r="L625" s="2">
        <f>SUMIFS($T$2:$T$10,$R$2:$R$10,F625)</f>
        <v>0.27</v>
      </c>
      <c r="M625" s="2">
        <f>SUMIFS($V$2:$V$10,$R$2:$R$10,D625)</f>
        <v>0.08</v>
      </c>
    </row>
    <row r="626" spans="1:13" x14ac:dyDescent="0.25">
      <c r="A626" s="2">
        <f>(A$2+A$2*K626+A$2*M626)*(1+L626)</f>
        <v>542.80000000000007</v>
      </c>
      <c r="B626" s="2">
        <f>(B$2+B$2*K626+B$2*M626)*(1+L626)</f>
        <v>631.35</v>
      </c>
      <c r="C626" s="2">
        <f>(C$2+C$2*K626+C$2*M626)*(1+L626)</f>
        <v>663.55</v>
      </c>
      <c r="D626" s="2">
        <v>8</v>
      </c>
      <c r="E626" s="2">
        <v>5</v>
      </c>
      <c r="F626" s="2">
        <v>0</v>
      </c>
      <c r="G626" s="2">
        <f>SUMIFS($S$2:$S$10,$R$2:$R$10,D626)</f>
        <v>27</v>
      </c>
      <c r="H626" s="2">
        <f>SUMIFS($S$2:$S$10,$R$2:$R$10,E626)</f>
        <v>10</v>
      </c>
      <c r="I626" s="2">
        <f>SUMIFS($S$2:$S$10,$R$2:$R$10,F626)</f>
        <v>0</v>
      </c>
      <c r="J626" s="2">
        <f>SUM(G626:I626)</f>
        <v>37</v>
      </c>
      <c r="K626" s="2">
        <f>SUMIFS($U$2:$U$10,$R$2:$R$10,E626)</f>
        <v>7.0000000000000007E-2</v>
      </c>
      <c r="L626" s="2">
        <f>SUMIFS($T$2:$T$10,$R$2:$R$10,F626)</f>
        <v>0</v>
      </c>
      <c r="M626" s="2">
        <f>SUMIFS($V$2:$V$10,$R$2:$R$10,D626)</f>
        <v>0.08</v>
      </c>
    </row>
    <row r="627" spans="1:13" x14ac:dyDescent="0.25">
      <c r="A627" s="2">
        <f>(A$2+A$2*K627+A$2*M627)*(1+L627)</f>
        <v>602.27200000000005</v>
      </c>
      <c r="B627" s="2">
        <f>(B$2+B$2*K627+B$2*M627)*(1+L627)</f>
        <v>700.52399999999989</v>
      </c>
      <c r="C627" s="2">
        <f>(C$2+C$2*K627+C$2*M627)*(1+L627)</f>
        <v>736.25199999999984</v>
      </c>
      <c r="D627" s="2">
        <v>9</v>
      </c>
      <c r="E627" s="2">
        <v>1</v>
      </c>
      <c r="F627" s="2">
        <v>2</v>
      </c>
      <c r="G627" s="2">
        <f>SUMIFS($S$2:$S$10,$R$2:$R$10,D627)</f>
        <v>34</v>
      </c>
      <c r="H627" s="2">
        <f>SUMIFS($S$2:$S$10,$R$2:$R$10,E627)</f>
        <v>1</v>
      </c>
      <c r="I627" s="2">
        <f>SUMIFS($S$2:$S$10,$R$2:$R$10,F627)</f>
        <v>2</v>
      </c>
      <c r="J627" s="2">
        <f>SUM(G627:I627)</f>
        <v>37</v>
      </c>
      <c r="K627" s="2">
        <f>SUMIFS($U$2:$U$10,$R$2:$R$10,E627)</f>
        <v>0.01</v>
      </c>
      <c r="L627" s="2">
        <f>SUMIFS($T$2:$T$10,$R$2:$R$10,F627)</f>
        <v>0.16</v>
      </c>
      <c r="M627" s="2">
        <f>SUMIFS($V$2:$V$10,$R$2:$R$10,D627)</f>
        <v>0.09</v>
      </c>
    </row>
    <row r="628" spans="1:13" x14ac:dyDescent="0.25">
      <c r="A628" s="2">
        <f>(A$2+A$2*K628+A$2*M628)*(1+L628)</f>
        <v>592.02959999999985</v>
      </c>
      <c r="B628" s="2">
        <f>(B$2+B$2*K628+B$2*M628)*(1+L628)</f>
        <v>688.61069999999995</v>
      </c>
      <c r="C628" s="2">
        <f>(C$2+C$2*K628+C$2*M628)*(1+L628)</f>
        <v>723.73109999999986</v>
      </c>
      <c r="D628" s="2">
        <v>9</v>
      </c>
      <c r="E628" s="2">
        <v>2</v>
      </c>
      <c r="F628" s="2">
        <v>1</v>
      </c>
      <c r="G628" s="2">
        <f>SUMIFS($S$2:$S$10,$R$2:$R$10,D628)</f>
        <v>34</v>
      </c>
      <c r="H628" s="2">
        <f>SUMIFS($S$2:$S$10,$R$2:$R$10,E628)</f>
        <v>2</v>
      </c>
      <c r="I628" s="2">
        <f>SUMIFS($S$2:$S$10,$R$2:$R$10,F628)</f>
        <v>1</v>
      </c>
      <c r="J628" s="2">
        <f>SUM(G628:I628)</f>
        <v>37</v>
      </c>
      <c r="K628" s="2">
        <f>SUMIFS($U$2:$U$10,$R$2:$R$10,E628)</f>
        <v>0.02</v>
      </c>
      <c r="L628" s="2">
        <f>SUMIFS($T$2:$T$10,$R$2:$R$10,F628)</f>
        <v>0.13</v>
      </c>
      <c r="M628" s="2">
        <f>SUMIFS($V$2:$V$10,$R$2:$R$10,D628)</f>
        <v>0.09</v>
      </c>
    </row>
    <row r="629" spans="1:13" x14ac:dyDescent="0.25">
      <c r="A629" s="1">
        <f>(A$2+A$2*K629+A$2*L629)*(1+M629)</f>
        <v>715.45760000000007</v>
      </c>
      <c r="B629" s="1">
        <f>(B$2+B$2*K629+B$2*L629)*(1+M629)</f>
        <v>832.17420000000004</v>
      </c>
      <c r="C629" s="1">
        <f>(C$2+C$2*K629+C$2*L629)*(1+M629)</f>
        <v>874.61659999999995</v>
      </c>
      <c r="D629" s="1">
        <v>8</v>
      </c>
      <c r="E629" s="1">
        <v>1</v>
      </c>
      <c r="F629" s="1">
        <v>5</v>
      </c>
      <c r="G629" s="1">
        <f>SUMIFS($S$2:$S$10,$R$2:$R$10,D629)</f>
        <v>27</v>
      </c>
      <c r="H629" s="1">
        <f>SUMIFS($S$2:$S$10,$R$2:$R$10,E629)</f>
        <v>1</v>
      </c>
      <c r="I629" s="1">
        <f>SUMIFS($S$2:$S$10,$R$2:$R$10,F629)</f>
        <v>10</v>
      </c>
      <c r="J629" s="1">
        <f>SUM(G629:I629)</f>
        <v>38</v>
      </c>
      <c r="K629" s="1">
        <f>SUMIFS($U$2:$U$10,$R$2:$R$10,E629)</f>
        <v>0.01</v>
      </c>
      <c r="L629" s="1">
        <f>SUMIFS($V$2:$V$10,$R$2:$R$10,F629)</f>
        <v>0.05</v>
      </c>
      <c r="M629" s="1">
        <f>SUMIFS($T$2:$T$10,$R$2:$R$10,D629)</f>
        <v>0.43</v>
      </c>
    </row>
    <row r="630" spans="1:13" x14ac:dyDescent="0.25">
      <c r="A630" s="1">
        <f>(A$2+A$2*K630+A$2*L630)*(1+M630)</f>
        <v>722.20719999999994</v>
      </c>
      <c r="B630" s="1">
        <f>(B$2+B$2*K630+B$2*L630)*(1+M630)</f>
        <v>840.0249</v>
      </c>
      <c r="C630" s="1">
        <f>(C$2+C$2*K630+C$2*L630)*(1+M630)</f>
        <v>882.8676999999999</v>
      </c>
      <c r="D630" s="1">
        <v>8</v>
      </c>
      <c r="E630" s="1">
        <v>3</v>
      </c>
      <c r="F630" s="1">
        <v>4</v>
      </c>
      <c r="G630" s="1">
        <f>SUMIFS($S$2:$S$10,$R$2:$R$10,D630)</f>
        <v>27</v>
      </c>
      <c r="H630" s="1">
        <f>SUMIFS($S$2:$S$10,$R$2:$R$10,E630)</f>
        <v>4</v>
      </c>
      <c r="I630" s="1">
        <f>SUMIFS($S$2:$S$10,$R$2:$R$10,F630)</f>
        <v>7</v>
      </c>
      <c r="J630" s="1">
        <f>SUM(G630:I630)</f>
        <v>38</v>
      </c>
      <c r="K630" s="1">
        <f>SUMIFS($U$2:$U$10,$R$2:$R$10,E630)</f>
        <v>0.03</v>
      </c>
      <c r="L630" s="1">
        <f>SUMIFS($V$2:$V$10,$R$2:$R$10,F630)</f>
        <v>0.04</v>
      </c>
      <c r="M630" s="1">
        <f>SUMIFS($T$2:$T$10,$R$2:$R$10,D630)</f>
        <v>0.43</v>
      </c>
    </row>
    <row r="631" spans="1:13" x14ac:dyDescent="0.25">
      <c r="A631" s="1">
        <f>(A$2+A$2*K631+A$2*L631)*(1+M631)</f>
        <v>728.95680000000004</v>
      </c>
      <c r="B631" s="1">
        <f>(B$2+B$2*K631+B$2*L631)*(1+M631)</f>
        <v>847.87560000000008</v>
      </c>
      <c r="C631" s="1">
        <f>(C$2+C$2*K631+C$2*L631)*(1+M631)</f>
        <v>891.11879999999996</v>
      </c>
      <c r="D631" s="1">
        <v>8</v>
      </c>
      <c r="E631" s="1">
        <v>4</v>
      </c>
      <c r="F631" s="1">
        <v>3</v>
      </c>
      <c r="G631" s="1">
        <f>SUMIFS($S$2:$S$10,$R$2:$R$10,D631)</f>
        <v>27</v>
      </c>
      <c r="H631" s="1">
        <f>SUMIFS($S$2:$S$10,$R$2:$R$10,E631)</f>
        <v>7</v>
      </c>
      <c r="I631" s="1">
        <f>SUMIFS($S$2:$S$10,$R$2:$R$10,F631)</f>
        <v>4</v>
      </c>
      <c r="J631" s="1">
        <f>SUM(G631:I631)</f>
        <v>38</v>
      </c>
      <c r="K631" s="1">
        <f>SUMIFS($U$2:$U$10,$R$2:$R$10,E631)</f>
        <v>0.05</v>
      </c>
      <c r="L631" s="1">
        <f>SUMIFS($V$2:$V$10,$R$2:$R$10,F631)</f>
        <v>0.03</v>
      </c>
      <c r="M631" s="1">
        <f>SUMIFS($T$2:$T$10,$R$2:$R$10,D631)</f>
        <v>0.43</v>
      </c>
    </row>
    <row r="632" spans="1:13" x14ac:dyDescent="0.25">
      <c r="A632" s="1">
        <f>(A$2+A$2*K632+A$2*L632)*(1+M632)</f>
        <v>728.95680000000004</v>
      </c>
      <c r="B632" s="1">
        <f>(B$2+B$2*K632+B$2*L632)*(1+M632)</f>
        <v>847.87560000000008</v>
      </c>
      <c r="C632" s="1">
        <f>(C$2+C$2*K632+C$2*L632)*(1+M632)</f>
        <v>891.11879999999996</v>
      </c>
      <c r="D632" s="1">
        <v>8</v>
      </c>
      <c r="E632" s="1">
        <v>5</v>
      </c>
      <c r="F632" s="1">
        <v>1</v>
      </c>
      <c r="G632" s="1">
        <f>SUMIFS($S$2:$S$10,$R$2:$R$10,D632)</f>
        <v>27</v>
      </c>
      <c r="H632" s="1">
        <f>SUMIFS($S$2:$S$10,$R$2:$R$10,E632)</f>
        <v>10</v>
      </c>
      <c r="I632" s="1">
        <f>SUMIFS($S$2:$S$10,$R$2:$R$10,F632)</f>
        <v>1</v>
      </c>
      <c r="J632" s="1">
        <f>SUM(G632:I632)</f>
        <v>38</v>
      </c>
      <c r="K632" s="1">
        <f>SUMIFS($U$2:$U$10,$R$2:$R$10,E632)</f>
        <v>7.0000000000000007E-2</v>
      </c>
      <c r="L632" s="1">
        <f>SUMIFS($V$2:$V$10,$R$2:$R$10,F632)</f>
        <v>0.01</v>
      </c>
      <c r="M632" s="1">
        <f>SUMIFS($T$2:$T$10,$R$2:$R$10,D632)</f>
        <v>0.43</v>
      </c>
    </row>
    <row r="633" spans="1:13" x14ac:dyDescent="0.25">
      <c r="A633" s="1">
        <f>(A$2+A$2*K633+A$2*L633)*(1+M633)</f>
        <v>724.37840000000006</v>
      </c>
      <c r="B633" s="1">
        <f>(B$2+B$2*K633+B$2*L633)*(1+M633)</f>
        <v>842.55029999999999</v>
      </c>
      <c r="C633" s="1">
        <f>(C$2+C$2*K633+C$2*L633)*(1+M633)</f>
        <v>885.52189999999996</v>
      </c>
      <c r="D633" s="1">
        <v>9</v>
      </c>
      <c r="E633" s="1">
        <v>0</v>
      </c>
      <c r="F633" s="1">
        <v>3</v>
      </c>
      <c r="G633" s="1">
        <f>SUMIFS($S$2:$S$10,$R$2:$R$10,D633)</f>
        <v>34</v>
      </c>
      <c r="H633" s="1">
        <f>SUMIFS($S$2:$S$10,$R$2:$R$10,E633)</f>
        <v>0</v>
      </c>
      <c r="I633" s="1">
        <f>SUMIFS($S$2:$S$10,$R$2:$R$10,F633)</f>
        <v>4</v>
      </c>
      <c r="J633" s="1">
        <f>SUM(G633:I633)</f>
        <v>38</v>
      </c>
      <c r="K633" s="1">
        <f>SUMIFS($U$2:$U$10,$R$2:$R$10,E633)</f>
        <v>0</v>
      </c>
      <c r="L633" s="1">
        <f>SUMIFS($V$2:$V$10,$R$2:$R$10,F633)</f>
        <v>0.03</v>
      </c>
      <c r="M633" s="1">
        <f>SUMIFS($T$2:$T$10,$R$2:$R$10,D633)</f>
        <v>0.49</v>
      </c>
    </row>
    <row r="634" spans="1:13" x14ac:dyDescent="0.25">
      <c r="A634" s="1">
        <f>(A$2+A$2*K634+A$2*L634)*(1+M634)</f>
        <v>731.41120000000001</v>
      </c>
      <c r="B634" s="1">
        <f>(B$2+B$2*K634+B$2*L634)*(1+M634)</f>
        <v>850.73040000000003</v>
      </c>
      <c r="C634" s="1">
        <f>(C$2+C$2*K634+C$2*L634)*(1+M634)</f>
        <v>894.11919999999986</v>
      </c>
      <c r="D634" s="1">
        <v>9</v>
      </c>
      <c r="E634" s="1">
        <v>2</v>
      </c>
      <c r="F634" s="1">
        <v>2</v>
      </c>
      <c r="G634" s="1">
        <f>SUMIFS($S$2:$S$10,$R$2:$R$10,D634)</f>
        <v>34</v>
      </c>
      <c r="H634" s="1">
        <f>SUMIFS($S$2:$S$10,$R$2:$R$10,E634)</f>
        <v>2</v>
      </c>
      <c r="I634" s="1">
        <f>SUMIFS($S$2:$S$10,$R$2:$R$10,F634)</f>
        <v>2</v>
      </c>
      <c r="J634" s="1">
        <f>SUM(G634:I634)</f>
        <v>38</v>
      </c>
      <c r="K634" s="1">
        <f>SUMIFS($U$2:$U$10,$R$2:$R$10,E634)</f>
        <v>0.02</v>
      </c>
      <c r="L634" s="1">
        <f>SUMIFS($V$2:$V$10,$R$2:$R$10,F634)</f>
        <v>0.02</v>
      </c>
      <c r="M634" s="1">
        <f>SUMIFS($T$2:$T$10,$R$2:$R$10,D634)</f>
        <v>0.49</v>
      </c>
    </row>
    <row r="635" spans="1:13" x14ac:dyDescent="0.25">
      <c r="A635" s="1">
        <f>(A$2+A$2*K635+A$2*L635)*(1+M635)</f>
        <v>724.37840000000006</v>
      </c>
      <c r="B635" s="1">
        <f>(B$2+B$2*K635+B$2*L635)*(1+M635)</f>
        <v>842.55029999999999</v>
      </c>
      <c r="C635" s="1">
        <f>(C$2+C$2*K635+C$2*L635)*(1+M635)</f>
        <v>885.52189999999996</v>
      </c>
      <c r="D635" s="1">
        <v>9</v>
      </c>
      <c r="E635" s="1">
        <v>3</v>
      </c>
      <c r="F635" s="1">
        <v>0</v>
      </c>
      <c r="G635" s="1">
        <f>SUMIFS($S$2:$S$10,$R$2:$R$10,D635)</f>
        <v>34</v>
      </c>
      <c r="H635" s="1">
        <f>SUMIFS($S$2:$S$10,$R$2:$R$10,E635)</f>
        <v>4</v>
      </c>
      <c r="I635" s="1">
        <f>SUMIFS($S$2:$S$10,$R$2:$R$10,F635)</f>
        <v>0</v>
      </c>
      <c r="J635" s="1">
        <f>SUM(G635:I635)</f>
        <v>38</v>
      </c>
      <c r="K635" s="1">
        <f>SUMIFS($U$2:$U$10,$R$2:$R$10,E635)</f>
        <v>0.03</v>
      </c>
      <c r="L635" s="1">
        <f>SUMIFS($V$2:$V$10,$R$2:$R$10,F635)</f>
        <v>0</v>
      </c>
      <c r="M635" s="1">
        <f>SUMIFS($T$2:$T$10,$R$2:$R$10,D635)</f>
        <v>0.49</v>
      </c>
    </row>
    <row r="636" spans="1:13" x14ac:dyDescent="0.25">
      <c r="A636" s="3">
        <f>(A$2+A$2*M636+A$2*L636)*(1+K636)</f>
        <v>629.36479999999995</v>
      </c>
      <c r="B636" s="3">
        <f>(B$2+B$2*M636+B$2*L636)*(1+K636)</f>
        <v>732.03660000000002</v>
      </c>
      <c r="C636" s="3">
        <f>(C$2+C$2*M636+C$2*L636)*(1+K636)</f>
        <v>769.37179999999989</v>
      </c>
      <c r="D636" s="3">
        <v>8</v>
      </c>
      <c r="E636" s="3">
        <v>1</v>
      </c>
      <c r="F636" s="3">
        <v>5</v>
      </c>
      <c r="G636" s="3">
        <f>SUMIFS($S$2:$S$10,$R$2:$R$10,D636)</f>
        <v>27</v>
      </c>
      <c r="H636" s="3">
        <f>SUMIFS($S$2:$S$10,$R$2:$R$10,E636)</f>
        <v>1</v>
      </c>
      <c r="I636" s="3">
        <f>SUMIFS($S$2:$S$10,$R$2:$R$10,F636)</f>
        <v>10</v>
      </c>
      <c r="J636" s="3">
        <f>SUM(G636:I636)</f>
        <v>38</v>
      </c>
      <c r="K636" s="3">
        <f>SUMIFS($T$2:$T$10,$R$2:$R$10,E636)</f>
        <v>0.13</v>
      </c>
      <c r="L636" s="3">
        <f>SUMIFS($V$2:$V$10,$R$2:$R$10,F636)</f>
        <v>0.05</v>
      </c>
      <c r="M636" s="3">
        <f>SUMIFS($U$2:$U$10,$R$2:$R$10,D636)</f>
        <v>0.13</v>
      </c>
    </row>
    <row r="637" spans="1:13" x14ac:dyDescent="0.25">
      <c r="A637" s="3">
        <f>(A$2+A$2*M637+A$2*L637)*(1+K637)</f>
        <v>657.16559999999993</v>
      </c>
      <c r="B637" s="3">
        <f>(B$2+B$2*M637+B$2*L637)*(1+K637)</f>
        <v>764.37270000000001</v>
      </c>
      <c r="C637" s="3">
        <f>(C$2+C$2*M637+C$2*L637)*(1+K637)</f>
        <v>803.35709999999995</v>
      </c>
      <c r="D637" s="3">
        <v>8</v>
      </c>
      <c r="E637" s="3">
        <v>3</v>
      </c>
      <c r="F637" s="3">
        <v>4</v>
      </c>
      <c r="G637" s="3">
        <f>SUMIFS($S$2:$S$10,$R$2:$R$10,D637)</f>
        <v>27</v>
      </c>
      <c r="H637" s="3">
        <f>SUMIFS($S$2:$S$10,$R$2:$R$10,E637)</f>
        <v>4</v>
      </c>
      <c r="I637" s="3">
        <f>SUMIFS($S$2:$S$10,$R$2:$R$10,F637)</f>
        <v>7</v>
      </c>
      <c r="J637" s="3">
        <f>SUM(G637:I637)</f>
        <v>38</v>
      </c>
      <c r="K637" s="3">
        <f>SUMIFS($T$2:$T$10,$R$2:$R$10,E637)</f>
        <v>0.19</v>
      </c>
      <c r="L637" s="3">
        <f>SUMIFS($V$2:$V$10,$R$2:$R$10,F637)</f>
        <v>0.04</v>
      </c>
      <c r="M637" s="3">
        <f>SUMIFS($U$2:$U$10,$R$2:$R$10,D637)</f>
        <v>0.13</v>
      </c>
    </row>
    <row r="638" spans="1:13" x14ac:dyDescent="0.25">
      <c r="A638" s="3">
        <f>(A$2+A$2*M638+A$2*L638)*(1+K638)</f>
        <v>667.97439999999995</v>
      </c>
      <c r="B638" s="3">
        <f>(B$2+B$2*M638+B$2*L638)*(1+K638)</f>
        <v>776.94479999999999</v>
      </c>
      <c r="C638" s="3">
        <f>(C$2+C$2*M638+C$2*L638)*(1+K638)</f>
        <v>816.57039999999995</v>
      </c>
      <c r="D638" s="3">
        <v>8</v>
      </c>
      <c r="E638" s="3">
        <v>4</v>
      </c>
      <c r="F638" s="3">
        <v>3</v>
      </c>
      <c r="G638" s="3">
        <f>SUMIFS($S$2:$S$10,$R$2:$R$10,D638)</f>
        <v>27</v>
      </c>
      <c r="H638" s="3">
        <f>SUMIFS($S$2:$S$10,$R$2:$R$10,E638)</f>
        <v>7</v>
      </c>
      <c r="I638" s="3">
        <f>SUMIFS($S$2:$S$10,$R$2:$R$10,F638)</f>
        <v>4</v>
      </c>
      <c r="J638" s="3">
        <f>SUM(G638:I638)</f>
        <v>38</v>
      </c>
      <c r="K638" s="3">
        <f>SUMIFS($T$2:$T$10,$R$2:$R$10,E638)</f>
        <v>0.22</v>
      </c>
      <c r="L638" s="3">
        <f>SUMIFS($V$2:$V$10,$R$2:$R$10,F638)</f>
        <v>0.03</v>
      </c>
      <c r="M638" s="3">
        <f>SUMIFS($U$2:$U$10,$R$2:$R$10,D638)</f>
        <v>0.13</v>
      </c>
    </row>
    <row r="639" spans="1:13" x14ac:dyDescent="0.25">
      <c r="A639" s="3">
        <f>(A$2+A$2*M639+A$2*L639)*(1+K639)</f>
        <v>683.36160000000007</v>
      </c>
      <c r="B639" s="3">
        <f>(B$2+B$2*M639+B$2*L639)*(1+K639)</f>
        <v>794.84220000000005</v>
      </c>
      <c r="C639" s="3">
        <f>(C$2+C$2*M639+C$2*L639)*(1+K639)</f>
        <v>835.38059999999996</v>
      </c>
      <c r="D639" s="3">
        <v>8</v>
      </c>
      <c r="E639" s="3">
        <v>5</v>
      </c>
      <c r="F639" s="3">
        <v>1</v>
      </c>
      <c r="G639" s="3">
        <f>SUMIFS($S$2:$S$10,$R$2:$R$10,D639)</f>
        <v>27</v>
      </c>
      <c r="H639" s="3">
        <f>SUMIFS($S$2:$S$10,$R$2:$R$10,E639)</f>
        <v>10</v>
      </c>
      <c r="I639" s="3">
        <f>SUMIFS($S$2:$S$10,$R$2:$R$10,F639)</f>
        <v>1</v>
      </c>
      <c r="J639" s="3">
        <f>SUM(G639:I639)</f>
        <v>38</v>
      </c>
      <c r="K639" s="3">
        <f>SUMIFS($T$2:$T$10,$R$2:$R$10,E639)</f>
        <v>0.27</v>
      </c>
      <c r="L639" s="3">
        <f>SUMIFS($V$2:$V$10,$R$2:$R$10,F639)</f>
        <v>0.01</v>
      </c>
      <c r="M639" s="3">
        <f>SUMIFS($U$2:$U$10,$R$2:$R$10,D639)</f>
        <v>0.13</v>
      </c>
    </row>
    <row r="640" spans="1:13" x14ac:dyDescent="0.25">
      <c r="A640" s="3">
        <f>(A$2+A$2*M640+A$2*L640)*(1+K640)</f>
        <v>556.95999999999992</v>
      </c>
      <c r="B640" s="3">
        <f>(B$2+B$2*M640+B$2*L640)*(1+K640)</f>
        <v>647.82000000000005</v>
      </c>
      <c r="C640" s="3">
        <f>(C$2+C$2*M640+C$2*L640)*(1+K640)</f>
        <v>680.8599999999999</v>
      </c>
      <c r="D640" s="3">
        <v>9</v>
      </c>
      <c r="E640" s="3">
        <v>0</v>
      </c>
      <c r="F640" s="3">
        <v>3</v>
      </c>
      <c r="G640" s="3">
        <f>SUMIFS($S$2:$S$10,$R$2:$R$10,D640)</f>
        <v>34</v>
      </c>
      <c r="H640" s="3">
        <f>SUMIFS($S$2:$S$10,$R$2:$R$10,E640)</f>
        <v>0</v>
      </c>
      <c r="I640" s="3">
        <f>SUMIFS($S$2:$S$10,$R$2:$R$10,F640)</f>
        <v>4</v>
      </c>
      <c r="J640" s="3">
        <f>SUM(G640:I640)</f>
        <v>38</v>
      </c>
      <c r="K640" s="3">
        <f>SUMIFS($T$2:$T$10,$R$2:$R$10,E640)</f>
        <v>0</v>
      </c>
      <c r="L640" s="3">
        <f>SUMIFS($V$2:$V$10,$R$2:$R$10,F640)</f>
        <v>0.03</v>
      </c>
      <c r="M640" s="3">
        <f>SUMIFS($U$2:$U$10,$R$2:$R$10,D640)</f>
        <v>0.15</v>
      </c>
    </row>
    <row r="641" spans="1:13" x14ac:dyDescent="0.25">
      <c r="A641" s="3">
        <f>(A$2+A$2*M641+A$2*L641)*(1+K641)</f>
        <v>640.59839999999997</v>
      </c>
      <c r="B641" s="3">
        <f>(B$2+B$2*M641+B$2*L641)*(1+K641)</f>
        <v>745.1028</v>
      </c>
      <c r="C641" s="3">
        <f>(C$2+C$2*M641+C$2*L641)*(1+K641)</f>
        <v>783.10439999999983</v>
      </c>
      <c r="D641" s="3">
        <v>9</v>
      </c>
      <c r="E641" s="3">
        <v>2</v>
      </c>
      <c r="F641" s="3">
        <v>2</v>
      </c>
      <c r="G641" s="3">
        <f>SUMIFS($S$2:$S$10,$R$2:$R$10,D641)</f>
        <v>34</v>
      </c>
      <c r="H641" s="3">
        <f>SUMIFS($S$2:$S$10,$R$2:$R$10,E641)</f>
        <v>2</v>
      </c>
      <c r="I641" s="3">
        <f>SUMIFS($S$2:$S$10,$R$2:$R$10,F641)</f>
        <v>2</v>
      </c>
      <c r="J641" s="3">
        <f>SUM(G641:I641)</f>
        <v>38</v>
      </c>
      <c r="K641" s="3">
        <f>SUMIFS($T$2:$T$10,$R$2:$R$10,E641)</f>
        <v>0.16</v>
      </c>
      <c r="L641" s="3">
        <f>SUMIFS($V$2:$V$10,$R$2:$R$10,F641)</f>
        <v>0.02</v>
      </c>
      <c r="M641" s="3">
        <f>SUMIFS($U$2:$U$10,$R$2:$R$10,D641)</f>
        <v>0.15</v>
      </c>
    </row>
    <row r="642" spans="1:13" x14ac:dyDescent="0.25">
      <c r="A642" s="3">
        <f>(A$2+A$2*M642+A$2*L642)*(1+K642)</f>
        <v>645.9319999999999</v>
      </c>
      <c r="B642" s="3">
        <f>(B$2+B$2*M642+B$2*L642)*(1+K642)</f>
        <v>751.30650000000003</v>
      </c>
      <c r="C642" s="3">
        <f>(C$2+C$2*M642+C$2*L642)*(1+K642)</f>
        <v>789.6244999999999</v>
      </c>
      <c r="D642" s="3">
        <v>9</v>
      </c>
      <c r="E642" s="3">
        <v>3</v>
      </c>
      <c r="F642" s="3">
        <v>0</v>
      </c>
      <c r="G642" s="3">
        <f>SUMIFS($S$2:$S$10,$R$2:$R$10,D642)</f>
        <v>34</v>
      </c>
      <c r="H642" s="3">
        <f>SUMIFS($S$2:$S$10,$R$2:$R$10,E642)</f>
        <v>4</v>
      </c>
      <c r="I642" s="3">
        <f>SUMIFS($S$2:$S$10,$R$2:$R$10,F642)</f>
        <v>0</v>
      </c>
      <c r="J642" s="3">
        <f>SUM(G642:I642)</f>
        <v>38</v>
      </c>
      <c r="K642" s="3">
        <f>SUMIFS($T$2:$T$10,$R$2:$R$10,E642)</f>
        <v>0.19</v>
      </c>
      <c r="L642" s="3">
        <f>SUMIFS($V$2:$V$10,$R$2:$R$10,F642)</f>
        <v>0</v>
      </c>
      <c r="M642" s="3">
        <f>SUMIFS($U$2:$U$10,$R$2:$R$10,D642)</f>
        <v>0.15</v>
      </c>
    </row>
    <row r="643" spans="1:13" x14ac:dyDescent="0.25">
      <c r="A643" s="2">
        <f>(A$2+A$2*K643+A$2*M643)*(1+L643)</f>
        <v>653.38960000000009</v>
      </c>
      <c r="B643" s="2">
        <f>(B$2+B$2*K643+B$2*M643)*(1+L643)</f>
        <v>759.98069999999996</v>
      </c>
      <c r="C643" s="2">
        <f>(C$2+C$2*K643+C$2*M643)*(1+L643)</f>
        <v>798.74109999999996</v>
      </c>
      <c r="D643" s="2">
        <v>8</v>
      </c>
      <c r="E643" s="2">
        <v>1</v>
      </c>
      <c r="F643" s="2">
        <v>5</v>
      </c>
      <c r="G643" s="2">
        <f>SUMIFS($S$2:$S$10,$R$2:$R$10,D643)</f>
        <v>27</v>
      </c>
      <c r="H643" s="2">
        <f>SUMIFS($S$2:$S$10,$R$2:$R$10,E643)</f>
        <v>1</v>
      </c>
      <c r="I643" s="2">
        <f>SUMIFS($S$2:$S$10,$R$2:$R$10,F643)</f>
        <v>10</v>
      </c>
      <c r="J643" s="2">
        <f>SUM(G643:I643)</f>
        <v>38</v>
      </c>
      <c r="K643" s="2">
        <f>SUMIFS($U$2:$U$10,$R$2:$R$10,E643)</f>
        <v>0.01</v>
      </c>
      <c r="L643" s="2">
        <f>SUMIFS($T$2:$T$10,$R$2:$R$10,F643)</f>
        <v>0.27</v>
      </c>
      <c r="M643" s="2">
        <f>SUMIFS($V$2:$V$10,$R$2:$R$10,D643)</f>
        <v>0.08</v>
      </c>
    </row>
    <row r="644" spans="1:13" x14ac:dyDescent="0.25">
      <c r="A644" s="2">
        <f>(A$2+A$2*K644+A$2*M644)*(1+L644)</f>
        <v>639.18240000000003</v>
      </c>
      <c r="B644" s="2">
        <f>(B$2+B$2*K644+B$2*M644)*(1+L644)</f>
        <v>743.45579999999995</v>
      </c>
      <c r="C644" s="2">
        <f>(C$2+C$2*K644+C$2*M644)*(1+L644)</f>
        <v>781.37339999999983</v>
      </c>
      <c r="D644" s="2">
        <v>8</v>
      </c>
      <c r="E644" s="2">
        <v>3</v>
      </c>
      <c r="F644" s="2">
        <v>4</v>
      </c>
      <c r="G644" s="2">
        <f>SUMIFS($S$2:$S$10,$R$2:$R$10,D644)</f>
        <v>27</v>
      </c>
      <c r="H644" s="2">
        <f>SUMIFS($S$2:$S$10,$R$2:$R$10,E644)</f>
        <v>4</v>
      </c>
      <c r="I644" s="2">
        <f>SUMIFS($S$2:$S$10,$R$2:$R$10,F644)</f>
        <v>7</v>
      </c>
      <c r="J644" s="2">
        <f>SUM(G644:I644)</f>
        <v>38</v>
      </c>
      <c r="K644" s="2">
        <f>SUMIFS($U$2:$U$10,$R$2:$R$10,E644)</f>
        <v>0.03</v>
      </c>
      <c r="L644" s="2">
        <f>SUMIFS($T$2:$T$10,$R$2:$R$10,F644)</f>
        <v>0.22</v>
      </c>
      <c r="M644" s="2">
        <f>SUMIFS($V$2:$V$10,$R$2:$R$10,D644)</f>
        <v>0.08</v>
      </c>
    </row>
    <row r="645" spans="1:13" x14ac:dyDescent="0.25">
      <c r="A645" s="2">
        <f>(A$2+A$2*K645+A$2*M645)*(1+L645)</f>
        <v>634.69839999999999</v>
      </c>
      <c r="B645" s="2">
        <f>(B$2+B$2*K645+B$2*M645)*(1+L645)</f>
        <v>738.24029999999993</v>
      </c>
      <c r="C645" s="2">
        <f>(C$2+C$2*K645+C$2*M645)*(1+L645)</f>
        <v>775.89189999999996</v>
      </c>
      <c r="D645" s="2">
        <v>8</v>
      </c>
      <c r="E645" s="2">
        <v>4</v>
      </c>
      <c r="F645" s="2">
        <v>3</v>
      </c>
      <c r="G645" s="2">
        <f>SUMIFS($S$2:$S$10,$R$2:$R$10,D645)</f>
        <v>27</v>
      </c>
      <c r="H645" s="2">
        <f>SUMIFS($S$2:$S$10,$R$2:$R$10,E645)</f>
        <v>7</v>
      </c>
      <c r="I645" s="2">
        <f>SUMIFS($S$2:$S$10,$R$2:$R$10,F645)</f>
        <v>4</v>
      </c>
      <c r="J645" s="2">
        <f>SUM(G645:I645)</f>
        <v>38</v>
      </c>
      <c r="K645" s="2">
        <f>SUMIFS($U$2:$U$10,$R$2:$R$10,E645)</f>
        <v>0.05</v>
      </c>
      <c r="L645" s="2">
        <f>SUMIFS($T$2:$T$10,$R$2:$R$10,F645)</f>
        <v>0.19</v>
      </c>
      <c r="M645" s="2">
        <f>SUMIFS($V$2:$V$10,$R$2:$R$10,D645)</f>
        <v>0.08</v>
      </c>
    </row>
    <row r="646" spans="1:13" x14ac:dyDescent="0.25">
      <c r="A646" s="2">
        <f>(A$2+A$2*K646+A$2*M646)*(1+L646)</f>
        <v>613.36400000000003</v>
      </c>
      <c r="B646" s="2">
        <f>(B$2+B$2*K646+B$2*M646)*(1+L646)</f>
        <v>713.42549999999994</v>
      </c>
      <c r="C646" s="2">
        <f>(C$2+C$2*K646+C$2*M646)*(1+L646)</f>
        <v>749.81149999999991</v>
      </c>
      <c r="D646" s="2">
        <v>8</v>
      </c>
      <c r="E646" s="2">
        <v>5</v>
      </c>
      <c r="F646" s="2">
        <v>1</v>
      </c>
      <c r="G646" s="2">
        <f>SUMIFS($S$2:$S$10,$R$2:$R$10,D646)</f>
        <v>27</v>
      </c>
      <c r="H646" s="2">
        <f>SUMIFS($S$2:$S$10,$R$2:$R$10,E646)</f>
        <v>10</v>
      </c>
      <c r="I646" s="2">
        <f>SUMIFS($S$2:$S$10,$R$2:$R$10,F646)</f>
        <v>1</v>
      </c>
      <c r="J646" s="2">
        <f>SUM(G646:I646)</f>
        <v>38</v>
      </c>
      <c r="K646" s="2">
        <f>SUMIFS($U$2:$U$10,$R$2:$R$10,E646)</f>
        <v>7.0000000000000007E-2</v>
      </c>
      <c r="L646" s="2">
        <f>SUMIFS($T$2:$T$10,$R$2:$R$10,F646)</f>
        <v>0.13</v>
      </c>
      <c r="M646" s="2">
        <f>SUMIFS($V$2:$V$10,$R$2:$R$10,D646)</f>
        <v>0.08</v>
      </c>
    </row>
    <row r="647" spans="1:13" x14ac:dyDescent="0.25">
      <c r="A647" s="2">
        <f>(A$2+A$2*K647+A$2*M647)*(1+L647)</f>
        <v>612.23119999999994</v>
      </c>
      <c r="B647" s="2">
        <f>(B$2+B$2*K647+B$2*M647)*(1+L647)</f>
        <v>712.10789999999997</v>
      </c>
      <c r="C647" s="2">
        <f>(C$2+C$2*K647+C$2*M647)*(1+L647)</f>
        <v>748.42669999999987</v>
      </c>
      <c r="D647" s="2">
        <v>9</v>
      </c>
      <c r="E647" s="2">
        <v>0</v>
      </c>
      <c r="F647" s="2">
        <v>3</v>
      </c>
      <c r="G647" s="2">
        <f>SUMIFS($S$2:$S$10,$R$2:$R$10,D647)</f>
        <v>34</v>
      </c>
      <c r="H647" s="2">
        <f>SUMIFS($S$2:$S$10,$R$2:$R$10,E647)</f>
        <v>0</v>
      </c>
      <c r="I647" s="2">
        <f>SUMIFS($S$2:$S$10,$R$2:$R$10,F647)</f>
        <v>4</v>
      </c>
      <c r="J647" s="2">
        <f>SUM(G647:I647)</f>
        <v>38</v>
      </c>
      <c r="K647" s="2">
        <f>SUMIFS($U$2:$U$10,$R$2:$R$10,E647)</f>
        <v>0</v>
      </c>
      <c r="L647" s="2">
        <f>SUMIFS($T$2:$T$10,$R$2:$R$10,F647)</f>
        <v>0.19</v>
      </c>
      <c r="M647" s="2">
        <f>SUMIFS($V$2:$V$10,$R$2:$R$10,D647)</f>
        <v>0.09</v>
      </c>
    </row>
    <row r="648" spans="1:13" x14ac:dyDescent="0.25">
      <c r="A648" s="2">
        <f>(A$2+A$2*K648+A$2*M648)*(1+L648)</f>
        <v>607.74719999999991</v>
      </c>
      <c r="B648" s="2">
        <f>(B$2+B$2*K648+B$2*M648)*(1+L648)</f>
        <v>706.89239999999995</v>
      </c>
      <c r="C648" s="2">
        <f>(C$2+C$2*K648+C$2*M648)*(1+L648)</f>
        <v>742.94519999999989</v>
      </c>
      <c r="D648" s="2">
        <v>9</v>
      </c>
      <c r="E648" s="2">
        <v>2</v>
      </c>
      <c r="F648" s="2">
        <v>2</v>
      </c>
      <c r="G648" s="2">
        <f>SUMIFS($S$2:$S$10,$R$2:$R$10,D648)</f>
        <v>34</v>
      </c>
      <c r="H648" s="2">
        <f>SUMIFS($S$2:$S$10,$R$2:$R$10,E648)</f>
        <v>2</v>
      </c>
      <c r="I648" s="2">
        <f>SUMIFS($S$2:$S$10,$R$2:$R$10,F648)</f>
        <v>2</v>
      </c>
      <c r="J648" s="2">
        <f>SUM(G648:I648)</f>
        <v>38</v>
      </c>
      <c r="K648" s="2">
        <f>SUMIFS($U$2:$U$10,$R$2:$R$10,E648)</f>
        <v>0.02</v>
      </c>
      <c r="L648" s="2">
        <f>SUMIFS($T$2:$T$10,$R$2:$R$10,F648)</f>
        <v>0.16</v>
      </c>
      <c r="M648" s="2">
        <f>SUMIFS($V$2:$V$10,$R$2:$R$10,D648)</f>
        <v>0.09</v>
      </c>
    </row>
    <row r="649" spans="1:13" x14ac:dyDescent="0.25">
      <c r="A649" s="2">
        <f>(A$2+A$2*K649+A$2*M649)*(1+L649)</f>
        <v>528.64</v>
      </c>
      <c r="B649" s="2">
        <f>(B$2+B$2*K649+B$2*M649)*(1+L649)</f>
        <v>614.88</v>
      </c>
      <c r="C649" s="2">
        <f>(C$2+C$2*K649+C$2*M649)*(1+L649)</f>
        <v>646.2399999999999</v>
      </c>
      <c r="D649" s="2">
        <v>9</v>
      </c>
      <c r="E649" s="2">
        <v>3</v>
      </c>
      <c r="F649" s="2">
        <v>0</v>
      </c>
      <c r="G649" s="2">
        <f>SUMIFS($S$2:$S$10,$R$2:$R$10,D649)</f>
        <v>34</v>
      </c>
      <c r="H649" s="2">
        <f>SUMIFS($S$2:$S$10,$R$2:$R$10,E649)</f>
        <v>4</v>
      </c>
      <c r="I649" s="2">
        <f>SUMIFS($S$2:$S$10,$R$2:$R$10,F649)</f>
        <v>0</v>
      </c>
      <c r="J649" s="2">
        <f>SUM(G649:I649)</f>
        <v>38</v>
      </c>
      <c r="K649" s="2">
        <f>SUMIFS($U$2:$U$10,$R$2:$R$10,E649)</f>
        <v>0.03</v>
      </c>
      <c r="L649" s="2">
        <f>SUMIFS($T$2:$T$10,$R$2:$R$10,F649)</f>
        <v>0</v>
      </c>
      <c r="M649" s="2">
        <f>SUMIFS($V$2:$V$10,$R$2:$R$10,D649)</f>
        <v>0.09</v>
      </c>
    </row>
    <row r="650" spans="1:13" x14ac:dyDescent="0.25">
      <c r="A650" s="1">
        <f>(A$2+A$2*K650+A$2*L650)*(1+M650)</f>
        <v>704.83760000000007</v>
      </c>
      <c r="B650" s="1">
        <f>(B$2+B$2*K650+B$2*L650)*(1+M650)</f>
        <v>819.82170000000019</v>
      </c>
      <c r="C650" s="1">
        <f>(C$2+C$2*K650+C$2*L650)*(1+M650)</f>
        <v>861.63409999999999</v>
      </c>
      <c r="D650" s="1">
        <v>7</v>
      </c>
      <c r="E650" s="1">
        <v>3</v>
      </c>
      <c r="F650" s="1">
        <v>6</v>
      </c>
      <c r="G650" s="1">
        <f>SUMIFS($S$2:$S$10,$R$2:$R$10,D650)</f>
        <v>20</v>
      </c>
      <c r="H650" s="1">
        <f>SUMIFS($S$2:$S$10,$R$2:$R$10,E650)</f>
        <v>4</v>
      </c>
      <c r="I650" s="1">
        <f>SUMIFS($S$2:$S$10,$R$2:$R$10,F650)</f>
        <v>15</v>
      </c>
      <c r="J650" s="1">
        <f>SUM(G650:I650)</f>
        <v>39</v>
      </c>
      <c r="K650" s="1">
        <f>SUMIFS($U$2:$U$10,$R$2:$R$10,E650)</f>
        <v>0.03</v>
      </c>
      <c r="L650" s="1">
        <f>SUMIFS($V$2:$V$10,$R$2:$R$10,F650)</f>
        <v>0.06</v>
      </c>
      <c r="M650" s="1">
        <f>SUMIFS($T$2:$T$10,$R$2:$R$10,D650)</f>
        <v>0.37</v>
      </c>
    </row>
    <row r="651" spans="1:13" x14ac:dyDescent="0.25">
      <c r="A651" s="1">
        <f>(A$2+A$2*K651+A$2*L651)*(1+M651)</f>
        <v>724.23680000000002</v>
      </c>
      <c r="B651" s="1">
        <f>(B$2+B$2*K651+B$2*L651)*(1+M651)</f>
        <v>842.38560000000007</v>
      </c>
      <c r="C651" s="1">
        <f>(C$2+C$2*K651+C$2*L651)*(1+M651)</f>
        <v>885.34879999999987</v>
      </c>
      <c r="D651" s="1">
        <v>7</v>
      </c>
      <c r="E651" s="1">
        <v>6</v>
      </c>
      <c r="F651" s="1">
        <v>3</v>
      </c>
      <c r="G651" s="1">
        <f>SUMIFS($S$2:$S$10,$R$2:$R$10,D651)</f>
        <v>20</v>
      </c>
      <c r="H651" s="1">
        <f>SUMIFS($S$2:$S$10,$R$2:$R$10,E651)</f>
        <v>15</v>
      </c>
      <c r="I651" s="1">
        <f>SUMIFS($S$2:$S$10,$R$2:$R$10,F651)</f>
        <v>4</v>
      </c>
      <c r="J651" s="1">
        <f>SUM(G651:I651)</f>
        <v>39</v>
      </c>
      <c r="K651" s="1">
        <f>SUMIFS($U$2:$U$10,$R$2:$R$10,E651)</f>
        <v>0.09</v>
      </c>
      <c r="L651" s="1">
        <f>SUMIFS($V$2:$V$10,$R$2:$R$10,F651)</f>
        <v>0.03</v>
      </c>
      <c r="M651" s="1">
        <f>SUMIFS($T$2:$T$10,$R$2:$R$10,D651)</f>
        <v>0.37</v>
      </c>
    </row>
    <row r="652" spans="1:13" x14ac:dyDescent="0.25">
      <c r="A652" s="1">
        <f>(A$2+A$2*K652+A$2*L652)*(1+M652)</f>
        <v>722.20719999999994</v>
      </c>
      <c r="B652" s="1">
        <f>(B$2+B$2*K652+B$2*L652)*(1+M652)</f>
        <v>840.0249</v>
      </c>
      <c r="C652" s="1">
        <f>(C$2+C$2*K652+C$2*L652)*(1+M652)</f>
        <v>882.8676999999999</v>
      </c>
      <c r="D652" s="1">
        <v>8</v>
      </c>
      <c r="E652" s="1">
        <v>2</v>
      </c>
      <c r="F652" s="1">
        <v>5</v>
      </c>
      <c r="G652" s="1">
        <f>SUMIFS($S$2:$S$10,$R$2:$R$10,D652)</f>
        <v>27</v>
      </c>
      <c r="H652" s="1">
        <f>SUMIFS($S$2:$S$10,$R$2:$R$10,E652)</f>
        <v>2</v>
      </c>
      <c r="I652" s="1">
        <f>SUMIFS($S$2:$S$10,$R$2:$R$10,F652)</f>
        <v>10</v>
      </c>
      <c r="J652" s="1">
        <f>SUM(G652:I652)</f>
        <v>39</v>
      </c>
      <c r="K652" s="1">
        <f>SUMIFS($U$2:$U$10,$R$2:$R$10,E652)</f>
        <v>0.02</v>
      </c>
      <c r="L652" s="1">
        <f>SUMIFS($V$2:$V$10,$R$2:$R$10,F652)</f>
        <v>0.05</v>
      </c>
      <c r="M652" s="1">
        <f>SUMIFS($T$2:$T$10,$R$2:$R$10,D652)</f>
        <v>0.43</v>
      </c>
    </row>
    <row r="653" spans="1:13" x14ac:dyDescent="0.25">
      <c r="A653" s="1">
        <f>(A$2+A$2*K653+A$2*L653)*(1+M653)</f>
        <v>735.70640000000003</v>
      </c>
      <c r="B653" s="1">
        <f>(B$2+B$2*K653+B$2*L653)*(1+M653)</f>
        <v>855.72630000000004</v>
      </c>
      <c r="C653" s="1">
        <f>(C$2+C$2*K653+C$2*L653)*(1+M653)</f>
        <v>899.36989999999992</v>
      </c>
      <c r="D653" s="1">
        <v>8</v>
      </c>
      <c r="E653" s="1">
        <v>5</v>
      </c>
      <c r="F653" s="1">
        <v>2</v>
      </c>
      <c r="G653" s="1">
        <f>SUMIFS($S$2:$S$10,$R$2:$R$10,D653)</f>
        <v>27</v>
      </c>
      <c r="H653" s="1">
        <f>SUMIFS($S$2:$S$10,$R$2:$R$10,E653)</f>
        <v>10</v>
      </c>
      <c r="I653" s="1">
        <f>SUMIFS($S$2:$S$10,$R$2:$R$10,F653)</f>
        <v>2</v>
      </c>
      <c r="J653" s="1">
        <f>SUM(G653:I653)</f>
        <v>39</v>
      </c>
      <c r="K653" s="1">
        <f>SUMIFS($U$2:$U$10,$R$2:$R$10,E653)</f>
        <v>7.0000000000000007E-2</v>
      </c>
      <c r="L653" s="1">
        <f>SUMIFS($V$2:$V$10,$R$2:$R$10,F653)</f>
        <v>0.02</v>
      </c>
      <c r="M653" s="1">
        <f>SUMIFS($T$2:$T$10,$R$2:$R$10,D653)</f>
        <v>0.43</v>
      </c>
    </row>
    <row r="654" spans="1:13" x14ac:dyDescent="0.25">
      <c r="A654" s="1">
        <f>(A$2+A$2*K654+A$2*L654)*(1+M654)</f>
        <v>731.41120000000012</v>
      </c>
      <c r="B654" s="1">
        <f>(B$2+B$2*K654+B$2*L654)*(1+M654)</f>
        <v>850.73040000000003</v>
      </c>
      <c r="C654" s="1">
        <f>(C$2+C$2*K654+C$2*L654)*(1+M654)</f>
        <v>894.11919999999986</v>
      </c>
      <c r="D654" s="1">
        <v>9</v>
      </c>
      <c r="E654" s="1">
        <v>1</v>
      </c>
      <c r="F654" s="1">
        <v>3</v>
      </c>
      <c r="G654" s="1">
        <f>SUMIFS($S$2:$S$10,$R$2:$R$10,D654)</f>
        <v>34</v>
      </c>
      <c r="H654" s="1">
        <f>SUMIFS($S$2:$S$10,$R$2:$R$10,E654)</f>
        <v>1</v>
      </c>
      <c r="I654" s="1">
        <f>SUMIFS($S$2:$S$10,$R$2:$R$10,F654)</f>
        <v>4</v>
      </c>
      <c r="J654" s="1">
        <f>SUM(G654:I654)</f>
        <v>39</v>
      </c>
      <c r="K654" s="1">
        <f>SUMIFS($U$2:$U$10,$R$2:$R$10,E654)</f>
        <v>0.01</v>
      </c>
      <c r="L654" s="1">
        <f>SUMIFS($V$2:$V$10,$R$2:$R$10,F654)</f>
        <v>0.03</v>
      </c>
      <c r="M654" s="1">
        <f>SUMIFS($T$2:$T$10,$R$2:$R$10,D654)</f>
        <v>0.49</v>
      </c>
    </row>
    <row r="655" spans="1:13" x14ac:dyDescent="0.25">
      <c r="A655" s="1">
        <f>(A$2+A$2*K655+A$2*L655)*(1+M655)</f>
        <v>731.41120000000012</v>
      </c>
      <c r="B655" s="1">
        <f>(B$2+B$2*K655+B$2*L655)*(1+M655)</f>
        <v>850.73040000000003</v>
      </c>
      <c r="C655" s="1">
        <f>(C$2+C$2*K655+C$2*L655)*(1+M655)</f>
        <v>894.11919999999986</v>
      </c>
      <c r="D655" s="1">
        <v>9</v>
      </c>
      <c r="E655" s="1">
        <v>3</v>
      </c>
      <c r="F655" s="1">
        <v>1</v>
      </c>
      <c r="G655" s="1">
        <f>SUMIFS($S$2:$S$10,$R$2:$R$10,D655)</f>
        <v>34</v>
      </c>
      <c r="H655" s="1">
        <f>SUMIFS($S$2:$S$10,$R$2:$R$10,E655)</f>
        <v>4</v>
      </c>
      <c r="I655" s="1">
        <f>SUMIFS($S$2:$S$10,$R$2:$R$10,F655)</f>
        <v>1</v>
      </c>
      <c r="J655" s="1">
        <f>SUM(G655:I655)</f>
        <v>39</v>
      </c>
      <c r="K655" s="1">
        <f>SUMIFS($U$2:$U$10,$R$2:$R$10,E655)</f>
        <v>0.03</v>
      </c>
      <c r="L655" s="1">
        <f>SUMIFS($V$2:$V$10,$R$2:$R$10,F655)</f>
        <v>0.01</v>
      </c>
      <c r="M655" s="1">
        <f>SUMIFS($T$2:$T$10,$R$2:$R$10,D655)</f>
        <v>0.49</v>
      </c>
    </row>
    <row r="656" spans="1:13" x14ac:dyDescent="0.25">
      <c r="A656" s="3">
        <f>(A$2+A$2*M656+A$2*L656)*(1+K656)</f>
        <v>657.16559999999993</v>
      </c>
      <c r="B656" s="3">
        <f>(B$2+B$2*M656+B$2*L656)*(1+K656)</f>
        <v>764.3726999999999</v>
      </c>
      <c r="C656" s="3">
        <f>(C$2+C$2*M656+C$2*L656)*(1+K656)</f>
        <v>803.35709999999995</v>
      </c>
      <c r="D656" s="3">
        <v>7</v>
      </c>
      <c r="E656" s="3">
        <v>3</v>
      </c>
      <c r="F656" s="3">
        <v>6</v>
      </c>
      <c r="G656" s="3">
        <f>SUMIFS($S$2:$S$10,$R$2:$R$10,D656)</f>
        <v>20</v>
      </c>
      <c r="H656" s="3">
        <f>SUMIFS($S$2:$S$10,$R$2:$R$10,E656)</f>
        <v>4</v>
      </c>
      <c r="I656" s="3">
        <f>SUMIFS($S$2:$S$10,$R$2:$R$10,F656)</f>
        <v>15</v>
      </c>
      <c r="J656" s="3">
        <f>SUM(G656:I656)</f>
        <v>39</v>
      </c>
      <c r="K656" s="3">
        <f>SUMIFS($T$2:$T$10,$R$2:$R$10,E656)</f>
        <v>0.19</v>
      </c>
      <c r="L656" s="3">
        <f>SUMIFS($V$2:$V$10,$R$2:$R$10,F656)</f>
        <v>0.06</v>
      </c>
      <c r="M656" s="3">
        <f>SUMIFS($U$2:$U$10,$R$2:$R$10,D656)</f>
        <v>0.11</v>
      </c>
    </row>
    <row r="657" spans="1:13" x14ac:dyDescent="0.25">
      <c r="A657" s="3">
        <f>(A$2+A$2*M657+A$2*L657)*(1+K657)</f>
        <v>710.26559999999995</v>
      </c>
      <c r="B657" s="3">
        <f>(B$2+B$2*M657+B$2*L657)*(1+K657)</f>
        <v>826.13520000000005</v>
      </c>
      <c r="C657" s="3">
        <f>(C$2+C$2*M657+C$2*L657)*(1+K657)</f>
        <v>868.26959999999997</v>
      </c>
      <c r="D657" s="3">
        <v>7</v>
      </c>
      <c r="E657" s="3">
        <v>6</v>
      </c>
      <c r="F657" s="3">
        <v>3</v>
      </c>
      <c r="G657" s="3">
        <f>SUMIFS($S$2:$S$10,$R$2:$R$10,D657)</f>
        <v>20</v>
      </c>
      <c r="H657" s="3">
        <f>SUMIFS($S$2:$S$10,$R$2:$R$10,E657)</f>
        <v>15</v>
      </c>
      <c r="I657" s="3">
        <f>SUMIFS($S$2:$S$10,$R$2:$R$10,F657)</f>
        <v>4</v>
      </c>
      <c r="J657" s="3">
        <f>SUM(G657:I657)</f>
        <v>39</v>
      </c>
      <c r="K657" s="3">
        <f>SUMIFS($T$2:$T$10,$R$2:$R$10,E657)</f>
        <v>0.32</v>
      </c>
      <c r="L657" s="3">
        <f>SUMIFS($V$2:$V$10,$R$2:$R$10,F657)</f>
        <v>0.03</v>
      </c>
      <c r="M657" s="3">
        <f>SUMIFS($U$2:$U$10,$R$2:$R$10,D657)</f>
        <v>0.11</v>
      </c>
    </row>
    <row r="658" spans="1:13" x14ac:dyDescent="0.25">
      <c r="A658" s="3">
        <f>(A$2+A$2*M658+A$2*L658)*(1+K658)</f>
        <v>646.07359999999994</v>
      </c>
      <c r="B658" s="3">
        <f>(B$2+B$2*M658+B$2*L658)*(1+K658)</f>
        <v>751.47119999999995</v>
      </c>
      <c r="C658" s="3">
        <f>(C$2+C$2*M658+C$2*L658)*(1+K658)</f>
        <v>789.79759999999999</v>
      </c>
      <c r="D658" s="3">
        <v>8</v>
      </c>
      <c r="E658" s="3">
        <v>2</v>
      </c>
      <c r="F658" s="3">
        <v>5</v>
      </c>
      <c r="G658" s="3">
        <f>SUMIFS($S$2:$S$10,$R$2:$R$10,D658)</f>
        <v>27</v>
      </c>
      <c r="H658" s="3">
        <f>SUMIFS($S$2:$S$10,$R$2:$R$10,E658)</f>
        <v>2</v>
      </c>
      <c r="I658" s="3">
        <f>SUMIFS($S$2:$S$10,$R$2:$R$10,F658)</f>
        <v>10</v>
      </c>
      <c r="J658" s="3">
        <f>SUM(G658:I658)</f>
        <v>39</v>
      </c>
      <c r="K658" s="3">
        <f>SUMIFS($T$2:$T$10,$R$2:$R$10,E658)</f>
        <v>0.16</v>
      </c>
      <c r="L658" s="3">
        <f>SUMIFS($V$2:$V$10,$R$2:$R$10,F658)</f>
        <v>0.05</v>
      </c>
      <c r="M658" s="3">
        <f>SUMIFS($U$2:$U$10,$R$2:$R$10,D658)</f>
        <v>0.13</v>
      </c>
    </row>
    <row r="659" spans="1:13" x14ac:dyDescent="0.25">
      <c r="A659" s="3">
        <f>(A$2+A$2*M659+A$2*L659)*(1+K659)</f>
        <v>689.35600000000011</v>
      </c>
      <c r="B659" s="3">
        <f>(B$2+B$2*M659+B$2*L659)*(1+K659)</f>
        <v>801.81450000000007</v>
      </c>
      <c r="C659" s="3">
        <f>(C$2+C$2*M659+C$2*L659)*(1+K659)</f>
        <v>842.70849999999996</v>
      </c>
      <c r="D659" s="3">
        <v>8</v>
      </c>
      <c r="E659" s="3">
        <v>5</v>
      </c>
      <c r="F659" s="3">
        <v>2</v>
      </c>
      <c r="G659" s="3">
        <f>SUMIFS($S$2:$S$10,$R$2:$R$10,D659)</f>
        <v>27</v>
      </c>
      <c r="H659" s="3">
        <f>SUMIFS($S$2:$S$10,$R$2:$R$10,E659)</f>
        <v>10</v>
      </c>
      <c r="I659" s="3">
        <f>SUMIFS($S$2:$S$10,$R$2:$R$10,F659)</f>
        <v>2</v>
      </c>
      <c r="J659" s="3">
        <f>SUM(G659:I659)</f>
        <v>39</v>
      </c>
      <c r="K659" s="3">
        <f>SUMIFS($T$2:$T$10,$R$2:$R$10,E659)</f>
        <v>0.27</v>
      </c>
      <c r="L659" s="3">
        <f>SUMIFS($V$2:$V$10,$R$2:$R$10,F659)</f>
        <v>0.02</v>
      </c>
      <c r="M659" s="3">
        <f>SUMIFS($U$2:$U$10,$R$2:$R$10,D659)</f>
        <v>0.13</v>
      </c>
    </row>
    <row r="660" spans="1:13" x14ac:dyDescent="0.25">
      <c r="A660" s="3">
        <f>(A$2+A$2*M660+A$2*L660)*(1+K660)</f>
        <v>629.36479999999983</v>
      </c>
      <c r="B660" s="3">
        <f>(B$2+B$2*M660+B$2*L660)*(1+K660)</f>
        <v>732.03660000000002</v>
      </c>
      <c r="C660" s="3">
        <f>(C$2+C$2*M660+C$2*L660)*(1+K660)</f>
        <v>769.37179999999978</v>
      </c>
      <c r="D660" s="3">
        <v>9</v>
      </c>
      <c r="E660" s="3">
        <v>1</v>
      </c>
      <c r="F660" s="3">
        <v>3</v>
      </c>
      <c r="G660" s="3">
        <f>SUMIFS($S$2:$S$10,$R$2:$R$10,D660)</f>
        <v>34</v>
      </c>
      <c r="H660" s="3">
        <f>SUMIFS($S$2:$S$10,$R$2:$R$10,E660)</f>
        <v>1</v>
      </c>
      <c r="I660" s="3">
        <f>SUMIFS($S$2:$S$10,$R$2:$R$10,F660)</f>
        <v>4</v>
      </c>
      <c r="J660" s="3">
        <f>SUM(G660:I660)</f>
        <v>39</v>
      </c>
      <c r="K660" s="3">
        <f>SUMIFS($T$2:$T$10,$R$2:$R$10,E660)</f>
        <v>0.13</v>
      </c>
      <c r="L660" s="3">
        <f>SUMIFS($V$2:$V$10,$R$2:$R$10,F660)</f>
        <v>0.03</v>
      </c>
      <c r="M660" s="3">
        <f>SUMIFS($U$2:$U$10,$R$2:$R$10,D660)</f>
        <v>0.15</v>
      </c>
    </row>
    <row r="661" spans="1:13" x14ac:dyDescent="0.25">
      <c r="A661" s="3">
        <f>(A$2+A$2*M661+A$2*L661)*(1+K661)</f>
        <v>651.54879999999991</v>
      </c>
      <c r="B661" s="3">
        <f>(B$2+B$2*M661+B$2*L661)*(1+K661)</f>
        <v>757.83960000000002</v>
      </c>
      <c r="C661" s="3">
        <f>(C$2+C$2*M661+C$2*L661)*(1+K661)</f>
        <v>796.49079999999992</v>
      </c>
      <c r="D661" s="3">
        <v>9</v>
      </c>
      <c r="E661" s="3">
        <v>3</v>
      </c>
      <c r="F661" s="3">
        <v>1</v>
      </c>
      <c r="G661" s="3">
        <f>SUMIFS($S$2:$S$10,$R$2:$R$10,D661)</f>
        <v>34</v>
      </c>
      <c r="H661" s="3">
        <f>SUMIFS($S$2:$S$10,$R$2:$R$10,E661)</f>
        <v>4</v>
      </c>
      <c r="I661" s="3">
        <f>SUMIFS($S$2:$S$10,$R$2:$R$10,F661)</f>
        <v>1</v>
      </c>
      <c r="J661" s="3">
        <f>SUM(G661:I661)</f>
        <v>39</v>
      </c>
      <c r="K661" s="3">
        <f>SUMIFS($T$2:$T$10,$R$2:$R$10,E661)</f>
        <v>0.19</v>
      </c>
      <c r="L661" s="3">
        <f>SUMIFS($V$2:$V$10,$R$2:$R$10,F661)</f>
        <v>0.01</v>
      </c>
      <c r="M661" s="3">
        <f>SUMIFS($U$2:$U$10,$R$2:$R$10,D661)</f>
        <v>0.15</v>
      </c>
    </row>
    <row r="662" spans="1:13" x14ac:dyDescent="0.25">
      <c r="A662" s="2">
        <f>(A$2+A$2*K662+A$2*M662)*(1+L662)</f>
        <v>685.34400000000005</v>
      </c>
      <c r="B662" s="2">
        <f>(B$2+B$2*K662+B$2*M662)*(1+L662)</f>
        <v>797.14800000000014</v>
      </c>
      <c r="C662" s="2">
        <f>(C$2+C$2*K662+C$2*M662)*(1+L662)</f>
        <v>837.80399999999997</v>
      </c>
      <c r="D662" s="2">
        <v>7</v>
      </c>
      <c r="E662" s="2">
        <v>3</v>
      </c>
      <c r="F662" s="2">
        <v>6</v>
      </c>
      <c r="G662" s="2">
        <f>SUMIFS($S$2:$S$10,$R$2:$R$10,D662)</f>
        <v>20</v>
      </c>
      <c r="H662" s="2">
        <f>SUMIFS($S$2:$S$10,$R$2:$R$10,E662)</f>
        <v>4</v>
      </c>
      <c r="I662" s="2">
        <f>SUMIFS($S$2:$S$10,$R$2:$R$10,F662)</f>
        <v>15</v>
      </c>
      <c r="J662" s="2">
        <f>SUM(G662:I662)</f>
        <v>39</v>
      </c>
      <c r="K662" s="2">
        <f>SUMIFS($U$2:$U$10,$R$2:$R$10,E662)</f>
        <v>0.03</v>
      </c>
      <c r="L662" s="2">
        <f>SUMIFS($T$2:$T$10,$R$2:$R$10,F662)</f>
        <v>0.32</v>
      </c>
      <c r="M662" s="2">
        <f>SUMIFS($V$2:$V$10,$R$2:$R$10,D662)</f>
        <v>7.0000000000000007E-2</v>
      </c>
    </row>
    <row r="663" spans="1:13" x14ac:dyDescent="0.25">
      <c r="A663" s="2">
        <f>(A$2+A$2*K663+A$2*M663)*(1+L663)</f>
        <v>651.54879999999991</v>
      </c>
      <c r="B663" s="2">
        <f>(B$2+B$2*K663+B$2*M663)*(1+L663)</f>
        <v>757.8395999999999</v>
      </c>
      <c r="C663" s="2">
        <f>(C$2+C$2*K663+C$2*M663)*(1+L663)</f>
        <v>796.49079999999992</v>
      </c>
      <c r="D663" s="2">
        <v>7</v>
      </c>
      <c r="E663" s="2">
        <v>6</v>
      </c>
      <c r="F663" s="2">
        <v>3</v>
      </c>
      <c r="G663" s="2">
        <f>SUMIFS($S$2:$S$10,$R$2:$R$10,D663)</f>
        <v>20</v>
      </c>
      <c r="H663" s="2">
        <f>SUMIFS($S$2:$S$10,$R$2:$R$10,E663)</f>
        <v>15</v>
      </c>
      <c r="I663" s="2">
        <f>SUMIFS($S$2:$S$10,$R$2:$R$10,F663)</f>
        <v>4</v>
      </c>
      <c r="J663" s="2">
        <f>SUM(G663:I663)</f>
        <v>39</v>
      </c>
      <c r="K663" s="2">
        <f>SUMIFS($U$2:$U$10,$R$2:$R$10,E663)</f>
        <v>0.09</v>
      </c>
      <c r="L663" s="2">
        <f>SUMIFS($T$2:$T$10,$R$2:$R$10,F663)</f>
        <v>0.19</v>
      </c>
      <c r="M663" s="2">
        <f>SUMIFS($V$2:$V$10,$R$2:$R$10,D663)</f>
        <v>7.0000000000000007E-2</v>
      </c>
    </row>
    <row r="664" spans="1:13" x14ac:dyDescent="0.25">
      <c r="A664" s="2">
        <f>(A$2+A$2*K664+A$2*M664)*(1+L664)</f>
        <v>659.38400000000001</v>
      </c>
      <c r="B664" s="2">
        <f>(B$2+B$2*K664+B$2*M664)*(1+L664)</f>
        <v>766.95299999999997</v>
      </c>
      <c r="C664" s="2">
        <f>(C$2+C$2*K664+C$2*M664)*(1+L664)</f>
        <v>806.06899999999996</v>
      </c>
      <c r="D664" s="2">
        <v>8</v>
      </c>
      <c r="E664" s="2">
        <v>2</v>
      </c>
      <c r="F664" s="2">
        <v>5</v>
      </c>
      <c r="G664" s="2">
        <f>SUMIFS($S$2:$S$10,$R$2:$R$10,D664)</f>
        <v>27</v>
      </c>
      <c r="H664" s="2">
        <f>SUMIFS($S$2:$S$10,$R$2:$R$10,E664)</f>
        <v>2</v>
      </c>
      <c r="I664" s="2">
        <f>SUMIFS($S$2:$S$10,$R$2:$R$10,F664)</f>
        <v>10</v>
      </c>
      <c r="J664" s="2">
        <f>SUM(G664:I664)</f>
        <v>39</v>
      </c>
      <c r="K664" s="2">
        <f>SUMIFS($U$2:$U$10,$R$2:$R$10,E664)</f>
        <v>0.02</v>
      </c>
      <c r="L664" s="2">
        <f>SUMIFS($T$2:$T$10,$R$2:$R$10,F664)</f>
        <v>0.27</v>
      </c>
      <c r="M664" s="2">
        <f>SUMIFS($V$2:$V$10,$R$2:$R$10,D664)</f>
        <v>0.08</v>
      </c>
    </row>
    <row r="665" spans="1:13" x14ac:dyDescent="0.25">
      <c r="A665" s="2">
        <f>(A$2+A$2*K665+A$2*M665)*(1+L665)</f>
        <v>629.64800000000002</v>
      </c>
      <c r="B665" s="2">
        <f>(B$2+B$2*K665+B$2*M665)*(1+L665)</f>
        <v>732.36599999999999</v>
      </c>
      <c r="C665" s="2">
        <f>(C$2+C$2*K665+C$2*M665)*(1+L665)</f>
        <v>769.71799999999985</v>
      </c>
      <c r="D665" s="2">
        <v>8</v>
      </c>
      <c r="E665" s="2">
        <v>5</v>
      </c>
      <c r="F665" s="2">
        <v>2</v>
      </c>
      <c r="G665" s="2">
        <f>SUMIFS($S$2:$S$10,$R$2:$R$10,D665)</f>
        <v>27</v>
      </c>
      <c r="H665" s="2">
        <f>SUMIFS($S$2:$S$10,$R$2:$R$10,E665)</f>
        <v>10</v>
      </c>
      <c r="I665" s="2">
        <f>SUMIFS($S$2:$S$10,$R$2:$R$10,F665)</f>
        <v>2</v>
      </c>
      <c r="J665" s="2">
        <f>SUM(G665:I665)</f>
        <v>39</v>
      </c>
      <c r="K665" s="2">
        <f>SUMIFS($U$2:$U$10,$R$2:$R$10,E665)</f>
        <v>7.0000000000000007E-2</v>
      </c>
      <c r="L665" s="2">
        <f>SUMIFS($T$2:$T$10,$R$2:$R$10,F665)</f>
        <v>0.16</v>
      </c>
      <c r="M665" s="2">
        <f>SUMIFS($V$2:$V$10,$R$2:$R$10,D665)</f>
        <v>0.08</v>
      </c>
    </row>
    <row r="666" spans="1:13" x14ac:dyDescent="0.25">
      <c r="A666" s="2">
        <f>(A$2+A$2*K666+A$2*M666)*(1+L666)</f>
        <v>617.84800000000007</v>
      </c>
      <c r="B666" s="2">
        <f>(B$2+B$2*K666+B$2*M666)*(1+L666)</f>
        <v>718.64099999999996</v>
      </c>
      <c r="C666" s="2">
        <f>(C$2+C$2*K666+C$2*M666)*(1+L666)</f>
        <v>755.29299999999989</v>
      </c>
      <c r="D666" s="2">
        <v>9</v>
      </c>
      <c r="E666" s="2">
        <v>1</v>
      </c>
      <c r="F666" s="2">
        <v>3</v>
      </c>
      <c r="G666" s="2">
        <f>SUMIFS($S$2:$S$10,$R$2:$R$10,D666)</f>
        <v>34</v>
      </c>
      <c r="H666" s="2">
        <f>SUMIFS($S$2:$S$10,$R$2:$R$10,E666)</f>
        <v>1</v>
      </c>
      <c r="I666" s="2">
        <f>SUMIFS($S$2:$S$10,$R$2:$R$10,F666)</f>
        <v>4</v>
      </c>
      <c r="J666" s="2">
        <f>SUM(G666:I666)</f>
        <v>39</v>
      </c>
      <c r="K666" s="2">
        <f>SUMIFS($U$2:$U$10,$R$2:$R$10,E666)</f>
        <v>0.01</v>
      </c>
      <c r="L666" s="2">
        <f>SUMIFS($T$2:$T$10,$R$2:$R$10,F666)</f>
        <v>0.19</v>
      </c>
      <c r="M666" s="2">
        <f>SUMIFS($V$2:$V$10,$R$2:$R$10,D666)</f>
        <v>0.09</v>
      </c>
    </row>
    <row r="667" spans="1:13" x14ac:dyDescent="0.25">
      <c r="A667" s="2">
        <f>(A$2+A$2*K667+A$2*M667)*(1+L667)</f>
        <v>597.36319999999989</v>
      </c>
      <c r="B667" s="2">
        <f>(B$2+B$2*K667+B$2*M667)*(1+L667)</f>
        <v>694.81439999999998</v>
      </c>
      <c r="C667" s="2">
        <f>(C$2+C$2*K667+C$2*M667)*(1+L667)</f>
        <v>730.25119999999981</v>
      </c>
      <c r="D667" s="2">
        <v>9</v>
      </c>
      <c r="E667" s="2">
        <v>3</v>
      </c>
      <c r="F667" s="2">
        <v>1</v>
      </c>
      <c r="G667" s="2">
        <f>SUMIFS($S$2:$S$10,$R$2:$R$10,D667)</f>
        <v>34</v>
      </c>
      <c r="H667" s="2">
        <f>SUMIFS($S$2:$S$10,$R$2:$R$10,E667)</f>
        <v>4</v>
      </c>
      <c r="I667" s="2">
        <f>SUMIFS($S$2:$S$10,$R$2:$R$10,F667)</f>
        <v>1</v>
      </c>
      <c r="J667" s="2">
        <f>SUM(G667:I667)</f>
        <v>39</v>
      </c>
      <c r="K667" s="2">
        <f>SUMIFS($U$2:$U$10,$R$2:$R$10,E667)</f>
        <v>0.03</v>
      </c>
      <c r="L667" s="2">
        <f>SUMIFS($T$2:$T$10,$R$2:$R$10,F667)</f>
        <v>0.13</v>
      </c>
      <c r="M667" s="2">
        <f>SUMIFS($V$2:$V$10,$R$2:$R$10,D667)</f>
        <v>0.09</v>
      </c>
    </row>
    <row r="668" spans="1:13" x14ac:dyDescent="0.25">
      <c r="A668" s="1">
        <f>(A$2+A$2*K668+A$2*L668)*(1+M668)</f>
        <v>704.03520000000003</v>
      </c>
      <c r="B668" s="1">
        <f>(B$2+B$2*K668+B$2*L668)*(1+M668)</f>
        <v>818.88840000000016</v>
      </c>
      <c r="C668" s="1">
        <f>(C$2+C$2*K668+C$2*L668)*(1+M668)</f>
        <v>860.65320000000008</v>
      </c>
      <c r="D668" s="1">
        <v>6</v>
      </c>
      <c r="E668" s="1">
        <v>5</v>
      </c>
      <c r="F668" s="1">
        <v>6</v>
      </c>
      <c r="G668" s="1">
        <f>SUMIFS($S$2:$S$10,$R$2:$R$10,D668)</f>
        <v>15</v>
      </c>
      <c r="H668" s="1">
        <f>SUMIFS($S$2:$S$10,$R$2:$R$10,E668)</f>
        <v>10</v>
      </c>
      <c r="I668" s="1">
        <f>SUMIFS($S$2:$S$10,$R$2:$R$10,F668)</f>
        <v>15</v>
      </c>
      <c r="J668" s="1">
        <f>SUM(G668:I668)</f>
        <v>40</v>
      </c>
      <c r="K668" s="1">
        <f>SUMIFS($U$2:$U$10,$R$2:$R$10,E668)</f>
        <v>7.0000000000000007E-2</v>
      </c>
      <c r="L668" s="1">
        <f>SUMIFS($V$2:$V$10,$R$2:$R$10,F668)</f>
        <v>0.06</v>
      </c>
      <c r="M668" s="1">
        <f>SUMIFS($T$2:$T$10,$R$2:$R$10,D668)</f>
        <v>0.32</v>
      </c>
    </row>
    <row r="669" spans="1:13" x14ac:dyDescent="0.25">
      <c r="A669" s="1">
        <f>(A$2+A$2*K669+A$2*L669)*(1+M669)</f>
        <v>710.26560000000006</v>
      </c>
      <c r="B669" s="1">
        <f>(B$2+B$2*K669+B$2*L669)*(1+M669)</f>
        <v>826.13520000000005</v>
      </c>
      <c r="C669" s="1">
        <f>(C$2+C$2*K669+C$2*L669)*(1+M669)</f>
        <v>868.26959999999997</v>
      </c>
      <c r="D669" s="1">
        <v>6</v>
      </c>
      <c r="E669" s="1">
        <v>6</v>
      </c>
      <c r="F669" s="1">
        <v>5</v>
      </c>
      <c r="G669" s="1">
        <f>SUMIFS($S$2:$S$10,$R$2:$R$10,D669)</f>
        <v>15</v>
      </c>
      <c r="H669" s="1">
        <f>SUMIFS($S$2:$S$10,$R$2:$R$10,E669)</f>
        <v>15</v>
      </c>
      <c r="I669" s="1">
        <f>SUMIFS($S$2:$S$10,$R$2:$R$10,F669)</f>
        <v>10</v>
      </c>
      <c r="J669" s="1">
        <f>SUM(G669:I669)</f>
        <v>40</v>
      </c>
      <c r="K669" s="1">
        <f>SUMIFS($U$2:$U$10,$R$2:$R$10,E669)</f>
        <v>0.09</v>
      </c>
      <c r="L669" s="1">
        <f>SUMIFS($V$2:$V$10,$R$2:$R$10,F669)</f>
        <v>0.05</v>
      </c>
      <c r="M669" s="1">
        <f>SUMIFS($T$2:$T$10,$R$2:$R$10,D669)</f>
        <v>0.32</v>
      </c>
    </row>
    <row r="670" spans="1:13" x14ac:dyDescent="0.25">
      <c r="A670" s="1">
        <f>(A$2+A$2*K670+A$2*L670)*(1+M670)</f>
        <v>691.90480000000014</v>
      </c>
      <c r="B670" s="1">
        <f>(B$2+B$2*K670+B$2*L670)*(1+M670)</f>
        <v>804.7791000000002</v>
      </c>
      <c r="C670" s="1">
        <f>(C$2+C$2*K670+C$2*L670)*(1+M670)</f>
        <v>845.82429999999999</v>
      </c>
      <c r="D670" s="1">
        <v>7</v>
      </c>
      <c r="E670" s="1">
        <v>0</v>
      </c>
      <c r="F670" s="1">
        <v>7</v>
      </c>
      <c r="G670" s="1">
        <f>SUMIFS($S$2:$S$10,$R$2:$R$10,D670)</f>
        <v>20</v>
      </c>
      <c r="H670" s="1">
        <f>SUMIFS($S$2:$S$10,$R$2:$R$10,E670)</f>
        <v>0</v>
      </c>
      <c r="I670" s="1">
        <f>SUMIFS($S$2:$S$10,$R$2:$R$10,F670)</f>
        <v>20</v>
      </c>
      <c r="J670" s="1">
        <f>SUM(G670:I670)</f>
        <v>40</v>
      </c>
      <c r="K670" s="1">
        <f>SUMIFS($U$2:$U$10,$R$2:$R$10,E670)</f>
        <v>0</v>
      </c>
      <c r="L670" s="1">
        <f>SUMIFS($V$2:$V$10,$R$2:$R$10,F670)</f>
        <v>7.0000000000000007E-2</v>
      </c>
      <c r="M670" s="1">
        <f>SUMIFS($T$2:$T$10,$R$2:$R$10,D670)</f>
        <v>0.37</v>
      </c>
    </row>
    <row r="671" spans="1:13" x14ac:dyDescent="0.25">
      <c r="A671" s="1">
        <f>(A$2+A$2*K671+A$2*L671)*(1+M671)</f>
        <v>724.23680000000002</v>
      </c>
      <c r="B671" s="1">
        <f>(B$2+B$2*K671+B$2*L671)*(1+M671)</f>
        <v>842.38560000000018</v>
      </c>
      <c r="C671" s="1">
        <f>(C$2+C$2*K671+C$2*L671)*(1+M671)</f>
        <v>885.3488000000001</v>
      </c>
      <c r="D671" s="1">
        <v>7</v>
      </c>
      <c r="E671" s="1">
        <v>5</v>
      </c>
      <c r="F671" s="1">
        <v>5</v>
      </c>
      <c r="G671" s="1">
        <f>SUMIFS($S$2:$S$10,$R$2:$R$10,D671)</f>
        <v>20</v>
      </c>
      <c r="H671" s="1">
        <f>SUMIFS($S$2:$S$10,$R$2:$R$10,E671)</f>
        <v>10</v>
      </c>
      <c r="I671" s="1">
        <f>SUMIFS($S$2:$S$10,$R$2:$R$10,F671)</f>
        <v>10</v>
      </c>
      <c r="J671" s="1">
        <f>SUM(G671:I671)</f>
        <v>40</v>
      </c>
      <c r="K671" s="1">
        <f>SUMIFS($U$2:$U$10,$R$2:$R$10,E671)</f>
        <v>7.0000000000000007E-2</v>
      </c>
      <c r="L671" s="1">
        <f>SUMIFS($V$2:$V$10,$R$2:$R$10,F671)</f>
        <v>0.05</v>
      </c>
      <c r="M671" s="1">
        <f>SUMIFS($T$2:$T$10,$R$2:$R$10,D671)</f>
        <v>0.37</v>
      </c>
    </row>
    <row r="672" spans="1:13" x14ac:dyDescent="0.25">
      <c r="A672" s="1">
        <f>(A$2+A$2*K672+A$2*L672)*(1+M672)</f>
        <v>717.7704</v>
      </c>
      <c r="B672" s="1">
        <f>(B$2+B$2*K672+B$2*L672)*(1+M672)</f>
        <v>834.86430000000007</v>
      </c>
      <c r="C672" s="1">
        <f>(C$2+C$2*K672+C$2*L672)*(1+M672)</f>
        <v>877.4439000000001</v>
      </c>
      <c r="D672" s="1">
        <v>7</v>
      </c>
      <c r="E672" s="1">
        <v>7</v>
      </c>
      <c r="F672" s="1">
        <v>0</v>
      </c>
      <c r="G672" s="1">
        <f>SUMIFS($S$2:$S$10,$R$2:$R$10,D672)</f>
        <v>20</v>
      </c>
      <c r="H672" s="1">
        <f>SUMIFS($S$2:$S$10,$R$2:$R$10,E672)</f>
        <v>20</v>
      </c>
      <c r="I672" s="1">
        <f>SUMIFS($S$2:$S$10,$R$2:$R$10,F672)</f>
        <v>0</v>
      </c>
      <c r="J672" s="1">
        <f>SUM(G672:I672)</f>
        <v>40</v>
      </c>
      <c r="K672" s="1">
        <f>SUMIFS($U$2:$U$10,$R$2:$R$10,E672)</f>
        <v>0.11</v>
      </c>
      <c r="L672" s="1">
        <f>SUMIFS($V$2:$V$10,$R$2:$R$10,F672)</f>
        <v>0</v>
      </c>
      <c r="M672" s="1">
        <f>SUMIFS($T$2:$T$10,$R$2:$R$10,D672)</f>
        <v>0.37</v>
      </c>
    </row>
    <row r="673" spans="1:13" x14ac:dyDescent="0.25">
      <c r="A673" s="1">
        <f>(A$2+A$2*K673+A$2*L673)*(1+M673)</f>
        <v>738.44400000000007</v>
      </c>
      <c r="B673" s="1">
        <f>(B$2+B$2*K673+B$2*L673)*(1+M673)</f>
        <v>858.91050000000007</v>
      </c>
      <c r="C673" s="1">
        <f>(C$2+C$2*K673+C$2*L673)*(1+M673)</f>
        <v>902.71649999999988</v>
      </c>
      <c r="D673" s="1">
        <v>9</v>
      </c>
      <c r="E673" s="1">
        <v>2</v>
      </c>
      <c r="F673" s="1">
        <v>3</v>
      </c>
      <c r="G673" s="1">
        <f>SUMIFS($S$2:$S$10,$R$2:$R$10,D673)</f>
        <v>34</v>
      </c>
      <c r="H673" s="1">
        <f>SUMIFS($S$2:$S$10,$R$2:$R$10,E673)</f>
        <v>2</v>
      </c>
      <c r="I673" s="1">
        <f>SUMIFS($S$2:$S$10,$R$2:$R$10,F673)</f>
        <v>4</v>
      </c>
      <c r="J673" s="1">
        <f>SUM(G673:I673)</f>
        <v>40</v>
      </c>
      <c r="K673" s="1">
        <f>SUMIFS($U$2:$U$10,$R$2:$R$10,E673)</f>
        <v>0.02</v>
      </c>
      <c r="L673" s="1">
        <f>SUMIFS($V$2:$V$10,$R$2:$R$10,F673)</f>
        <v>0.03</v>
      </c>
      <c r="M673" s="1">
        <f>SUMIFS($T$2:$T$10,$R$2:$R$10,D673)</f>
        <v>0.49</v>
      </c>
    </row>
    <row r="674" spans="1:13" x14ac:dyDescent="0.25">
      <c r="A674" s="1">
        <f>(A$2+A$2*K674+A$2*L674)*(1+M674)</f>
        <v>738.44400000000007</v>
      </c>
      <c r="B674" s="1">
        <f>(B$2+B$2*K674+B$2*L674)*(1+M674)</f>
        <v>858.91050000000007</v>
      </c>
      <c r="C674" s="1">
        <f>(C$2+C$2*K674+C$2*L674)*(1+M674)</f>
        <v>902.71649999999988</v>
      </c>
      <c r="D674" s="1">
        <v>9</v>
      </c>
      <c r="E674" s="1">
        <v>3</v>
      </c>
      <c r="F674" s="1">
        <v>2</v>
      </c>
      <c r="G674" s="1">
        <f>SUMIFS($S$2:$S$10,$R$2:$R$10,D674)</f>
        <v>34</v>
      </c>
      <c r="H674" s="1">
        <f>SUMIFS($S$2:$S$10,$R$2:$R$10,E674)</f>
        <v>4</v>
      </c>
      <c r="I674" s="1">
        <f>SUMIFS($S$2:$S$10,$R$2:$R$10,F674)</f>
        <v>2</v>
      </c>
      <c r="J674" s="1">
        <f>SUM(G674:I674)</f>
        <v>40</v>
      </c>
      <c r="K674" s="1">
        <f>SUMIFS($U$2:$U$10,$R$2:$R$10,E674)</f>
        <v>0.03</v>
      </c>
      <c r="L674" s="1">
        <f>SUMIFS($V$2:$V$10,$R$2:$R$10,F674)</f>
        <v>0.02</v>
      </c>
      <c r="M674" s="1">
        <f>SUMIFS($T$2:$T$10,$R$2:$R$10,D674)</f>
        <v>0.49</v>
      </c>
    </row>
    <row r="675" spans="1:13" x14ac:dyDescent="0.25">
      <c r="A675" s="3">
        <f>(A$2+A$2*M675+A$2*L675)*(1+K675)</f>
        <v>689.35600000000011</v>
      </c>
      <c r="B675" s="3">
        <f>(B$2+B$2*M675+B$2*L675)*(1+K675)</f>
        <v>801.81449999999984</v>
      </c>
      <c r="C675" s="3">
        <f>(C$2+C$2*M675+C$2*L675)*(1+K675)</f>
        <v>842.70849999999996</v>
      </c>
      <c r="D675" s="3">
        <v>6</v>
      </c>
      <c r="E675" s="3">
        <v>5</v>
      </c>
      <c r="F675" s="3">
        <v>6</v>
      </c>
      <c r="G675" s="3">
        <f>SUMIFS($S$2:$S$10,$R$2:$R$10,D675)</f>
        <v>15</v>
      </c>
      <c r="H675" s="3">
        <f>SUMIFS($S$2:$S$10,$R$2:$R$10,E675)</f>
        <v>10</v>
      </c>
      <c r="I675" s="3">
        <f>SUMIFS($S$2:$S$10,$R$2:$R$10,F675)</f>
        <v>15</v>
      </c>
      <c r="J675" s="3">
        <f>SUM(G675:I675)</f>
        <v>40</v>
      </c>
      <c r="K675" s="3">
        <f>SUMIFS($T$2:$T$10,$R$2:$R$10,E675)</f>
        <v>0.27</v>
      </c>
      <c r="L675" s="3">
        <f>SUMIFS($V$2:$V$10,$R$2:$R$10,F675)</f>
        <v>0.06</v>
      </c>
      <c r="M675" s="3">
        <f>SUMIFS($U$2:$U$10,$R$2:$R$10,D675)</f>
        <v>0.09</v>
      </c>
    </row>
    <row r="676" spans="1:13" x14ac:dyDescent="0.25">
      <c r="A676" s="3">
        <f>(A$2+A$2*M676+A$2*L676)*(1+K676)</f>
        <v>710.26560000000006</v>
      </c>
      <c r="B676" s="3">
        <f>(B$2+B$2*M676+B$2*L676)*(1+K676)</f>
        <v>826.13520000000005</v>
      </c>
      <c r="C676" s="3">
        <f>(C$2+C$2*M676+C$2*L676)*(1+K676)</f>
        <v>868.26959999999997</v>
      </c>
      <c r="D676" s="3">
        <v>6</v>
      </c>
      <c r="E676" s="3">
        <v>6</v>
      </c>
      <c r="F676" s="3">
        <v>5</v>
      </c>
      <c r="G676" s="3">
        <f>SUMIFS($S$2:$S$10,$R$2:$R$10,D676)</f>
        <v>15</v>
      </c>
      <c r="H676" s="3">
        <f>SUMIFS($S$2:$S$10,$R$2:$R$10,E676)</f>
        <v>15</v>
      </c>
      <c r="I676" s="3">
        <f>SUMIFS($S$2:$S$10,$R$2:$R$10,F676)</f>
        <v>10</v>
      </c>
      <c r="J676" s="3">
        <f>SUM(G676:I676)</f>
        <v>40</v>
      </c>
      <c r="K676" s="3">
        <f>SUMIFS($T$2:$T$10,$R$2:$R$10,E676)</f>
        <v>0.32</v>
      </c>
      <c r="L676" s="3">
        <f>SUMIFS($V$2:$V$10,$R$2:$R$10,F676)</f>
        <v>0.05</v>
      </c>
      <c r="M676" s="3">
        <f>SUMIFS($U$2:$U$10,$R$2:$R$10,D676)</f>
        <v>0.09</v>
      </c>
    </row>
    <row r="677" spans="1:13" x14ac:dyDescent="0.25">
      <c r="A677" s="3">
        <f>(A$2+A$2*M677+A$2*L677)*(1+K677)</f>
        <v>556.95999999999992</v>
      </c>
      <c r="B677" s="3">
        <f>(B$2+B$2*M677+B$2*L677)*(1+K677)</f>
        <v>647.81999999999994</v>
      </c>
      <c r="C677" s="3">
        <f>(C$2+C$2*M677+C$2*L677)*(1+K677)</f>
        <v>680.86</v>
      </c>
      <c r="D677" s="3">
        <v>7</v>
      </c>
      <c r="E677" s="3">
        <v>0</v>
      </c>
      <c r="F677" s="3">
        <v>7</v>
      </c>
      <c r="G677" s="3">
        <f>SUMIFS($S$2:$S$10,$R$2:$R$10,D677)</f>
        <v>20</v>
      </c>
      <c r="H677" s="3">
        <f>SUMIFS($S$2:$S$10,$R$2:$R$10,E677)</f>
        <v>0</v>
      </c>
      <c r="I677" s="3">
        <f>SUMIFS($S$2:$S$10,$R$2:$R$10,F677)</f>
        <v>20</v>
      </c>
      <c r="J677" s="3">
        <f>SUM(G677:I677)</f>
        <v>40</v>
      </c>
      <c r="K677" s="3">
        <f>SUMIFS($T$2:$T$10,$R$2:$R$10,E677)</f>
        <v>0</v>
      </c>
      <c r="L677" s="3">
        <f>SUMIFS($V$2:$V$10,$R$2:$R$10,F677)</f>
        <v>7.0000000000000007E-2</v>
      </c>
      <c r="M677" s="3">
        <f>SUMIFS($U$2:$U$10,$R$2:$R$10,D677)</f>
        <v>0.11</v>
      </c>
    </row>
    <row r="678" spans="1:13" x14ac:dyDescent="0.25">
      <c r="A678" s="3">
        <f>(A$2+A$2*M678+A$2*L678)*(1+K678)</f>
        <v>695.35040000000004</v>
      </c>
      <c r="B678" s="3">
        <f>(B$2+B$2*M678+B$2*L678)*(1+K678)</f>
        <v>808.78680000000008</v>
      </c>
      <c r="C678" s="3">
        <f>(C$2+C$2*M678+C$2*L678)*(1+K678)</f>
        <v>850.03640000000007</v>
      </c>
      <c r="D678" s="3">
        <v>7</v>
      </c>
      <c r="E678" s="3">
        <v>5</v>
      </c>
      <c r="F678" s="3">
        <v>5</v>
      </c>
      <c r="G678" s="3">
        <f>SUMIFS($S$2:$S$10,$R$2:$R$10,D678)</f>
        <v>20</v>
      </c>
      <c r="H678" s="3">
        <f>SUMIFS($S$2:$S$10,$R$2:$R$10,E678)</f>
        <v>10</v>
      </c>
      <c r="I678" s="3">
        <f>SUMIFS($S$2:$S$10,$R$2:$R$10,F678)</f>
        <v>10</v>
      </c>
      <c r="J678" s="3">
        <f>SUM(G678:I678)</f>
        <v>40</v>
      </c>
      <c r="K678" s="3">
        <f>SUMIFS($T$2:$T$10,$R$2:$R$10,E678)</f>
        <v>0.27</v>
      </c>
      <c r="L678" s="3">
        <f>SUMIFS($V$2:$V$10,$R$2:$R$10,F678)</f>
        <v>0.05</v>
      </c>
      <c r="M678" s="3">
        <f>SUMIFS($U$2:$U$10,$R$2:$R$10,D678)</f>
        <v>0.11</v>
      </c>
    </row>
    <row r="679" spans="1:13" x14ac:dyDescent="0.25">
      <c r="A679" s="3">
        <f>(A$2+A$2*M679+A$2*L679)*(1+K679)</f>
        <v>717.7704</v>
      </c>
      <c r="B679" s="3">
        <f>(B$2+B$2*M679+B$2*L679)*(1+K679)</f>
        <v>834.86430000000007</v>
      </c>
      <c r="C679" s="3">
        <f>(C$2+C$2*M679+C$2*L679)*(1+K679)</f>
        <v>877.4439000000001</v>
      </c>
      <c r="D679" s="3">
        <v>7</v>
      </c>
      <c r="E679" s="3">
        <v>7</v>
      </c>
      <c r="F679" s="3">
        <v>0</v>
      </c>
      <c r="G679" s="3">
        <f>SUMIFS($S$2:$S$10,$R$2:$R$10,D679)</f>
        <v>20</v>
      </c>
      <c r="H679" s="3">
        <f>SUMIFS($S$2:$S$10,$R$2:$R$10,E679)</f>
        <v>20</v>
      </c>
      <c r="I679" s="3">
        <f>SUMIFS($S$2:$S$10,$R$2:$R$10,F679)</f>
        <v>0</v>
      </c>
      <c r="J679" s="3">
        <f>SUM(G679:I679)</f>
        <v>40</v>
      </c>
      <c r="K679" s="3">
        <f>SUMIFS($T$2:$T$10,$R$2:$R$10,E679)</f>
        <v>0.37</v>
      </c>
      <c r="L679" s="3">
        <f>SUMIFS($V$2:$V$10,$R$2:$R$10,F679)</f>
        <v>0</v>
      </c>
      <c r="M679" s="3">
        <f>SUMIFS($U$2:$U$10,$R$2:$R$10,D679)</f>
        <v>0.11</v>
      </c>
    </row>
    <row r="680" spans="1:13" x14ac:dyDescent="0.25">
      <c r="A680" s="3">
        <f>(A$2+A$2*M680+A$2*L680)*(1+K680)</f>
        <v>646.07359999999983</v>
      </c>
      <c r="B680" s="3">
        <f>(B$2+B$2*M680+B$2*L680)*(1+K680)</f>
        <v>751.47119999999995</v>
      </c>
      <c r="C680" s="3">
        <f>(C$2+C$2*M680+C$2*L680)*(1+K680)</f>
        <v>789.79759999999987</v>
      </c>
      <c r="D680" s="3">
        <v>9</v>
      </c>
      <c r="E680" s="3">
        <v>2</v>
      </c>
      <c r="F680" s="3">
        <v>3</v>
      </c>
      <c r="G680" s="3">
        <f>SUMIFS($S$2:$S$10,$R$2:$R$10,D680)</f>
        <v>34</v>
      </c>
      <c r="H680" s="3">
        <f>SUMIFS($S$2:$S$10,$R$2:$R$10,E680)</f>
        <v>2</v>
      </c>
      <c r="I680" s="3">
        <f>SUMIFS($S$2:$S$10,$R$2:$R$10,F680)</f>
        <v>4</v>
      </c>
      <c r="J680" s="3">
        <f>SUM(G680:I680)</f>
        <v>40</v>
      </c>
      <c r="K680" s="3">
        <f>SUMIFS($T$2:$T$10,$R$2:$R$10,E680)</f>
        <v>0.16</v>
      </c>
      <c r="L680" s="3">
        <f>SUMIFS($V$2:$V$10,$R$2:$R$10,F680)</f>
        <v>0.03</v>
      </c>
      <c r="M680" s="3">
        <f>SUMIFS($U$2:$U$10,$R$2:$R$10,D680)</f>
        <v>0.15</v>
      </c>
    </row>
    <row r="681" spans="1:13" x14ac:dyDescent="0.25">
      <c r="A681" s="3">
        <f>(A$2+A$2*M681+A$2*L681)*(1+K681)</f>
        <v>657.16559999999993</v>
      </c>
      <c r="B681" s="3">
        <f>(B$2+B$2*M681+B$2*L681)*(1+K681)</f>
        <v>764.37270000000001</v>
      </c>
      <c r="C681" s="3">
        <f>(C$2+C$2*M681+C$2*L681)*(1+K681)</f>
        <v>803.35709999999983</v>
      </c>
      <c r="D681" s="3">
        <v>9</v>
      </c>
      <c r="E681" s="3">
        <v>3</v>
      </c>
      <c r="F681" s="3">
        <v>2</v>
      </c>
      <c r="G681" s="3">
        <f>SUMIFS($S$2:$S$10,$R$2:$R$10,D681)</f>
        <v>34</v>
      </c>
      <c r="H681" s="3">
        <f>SUMIFS($S$2:$S$10,$R$2:$R$10,E681)</f>
        <v>4</v>
      </c>
      <c r="I681" s="3">
        <f>SUMIFS($S$2:$S$10,$R$2:$R$10,F681)</f>
        <v>2</v>
      </c>
      <c r="J681" s="3">
        <f>SUM(G681:I681)</f>
        <v>40</v>
      </c>
      <c r="K681" s="3">
        <f>SUMIFS($T$2:$T$10,$R$2:$R$10,E681)</f>
        <v>0.19</v>
      </c>
      <c r="L681" s="3">
        <f>SUMIFS($V$2:$V$10,$R$2:$R$10,F681)</f>
        <v>0.02</v>
      </c>
      <c r="M681" s="3">
        <f>SUMIFS($U$2:$U$10,$R$2:$R$10,D681)</f>
        <v>0.15</v>
      </c>
    </row>
    <row r="682" spans="1:13" x14ac:dyDescent="0.25">
      <c r="A682" s="2">
        <f>(A$2+A$2*K682+A$2*M682)*(1+L682)</f>
        <v>704.03520000000003</v>
      </c>
      <c r="B682" s="2">
        <f>(B$2+B$2*K682+B$2*M682)*(1+L682)</f>
        <v>818.88840000000016</v>
      </c>
      <c r="C682" s="2">
        <f>(C$2+C$2*K682+C$2*M682)*(1+L682)</f>
        <v>860.65320000000008</v>
      </c>
      <c r="D682" s="2">
        <v>6</v>
      </c>
      <c r="E682" s="2">
        <v>5</v>
      </c>
      <c r="F682" s="2">
        <v>6</v>
      </c>
      <c r="G682" s="2">
        <f>SUMIFS($S$2:$S$10,$R$2:$R$10,D682)</f>
        <v>15</v>
      </c>
      <c r="H682" s="2">
        <f>SUMIFS($S$2:$S$10,$R$2:$R$10,E682)</f>
        <v>10</v>
      </c>
      <c r="I682" s="2">
        <f>SUMIFS($S$2:$S$10,$R$2:$R$10,F682)</f>
        <v>15</v>
      </c>
      <c r="J682" s="2">
        <f>SUM(G682:I682)</f>
        <v>40</v>
      </c>
      <c r="K682" s="2">
        <f>SUMIFS($U$2:$U$10,$R$2:$R$10,E682)</f>
        <v>7.0000000000000007E-2</v>
      </c>
      <c r="L682" s="2">
        <f>SUMIFS($T$2:$T$10,$R$2:$R$10,F682)</f>
        <v>0.32</v>
      </c>
      <c r="M682" s="2">
        <f>SUMIFS($V$2:$V$10,$R$2:$R$10,D682)</f>
        <v>0.06</v>
      </c>
    </row>
    <row r="683" spans="1:13" x14ac:dyDescent="0.25">
      <c r="A683" s="2">
        <f>(A$2+A$2*K683+A$2*M683)*(1+L683)</f>
        <v>689.35600000000011</v>
      </c>
      <c r="B683" s="2">
        <f>(B$2+B$2*K683+B$2*M683)*(1+L683)</f>
        <v>801.81449999999984</v>
      </c>
      <c r="C683" s="2">
        <f>(C$2+C$2*K683+C$2*M683)*(1+L683)</f>
        <v>842.70849999999996</v>
      </c>
      <c r="D683" s="2">
        <v>6</v>
      </c>
      <c r="E683" s="2">
        <v>6</v>
      </c>
      <c r="F683" s="2">
        <v>5</v>
      </c>
      <c r="G683" s="2">
        <f>SUMIFS($S$2:$S$10,$R$2:$R$10,D683)</f>
        <v>15</v>
      </c>
      <c r="H683" s="2">
        <f>SUMIFS($S$2:$S$10,$R$2:$R$10,E683)</f>
        <v>15</v>
      </c>
      <c r="I683" s="2">
        <f>SUMIFS($S$2:$S$10,$R$2:$R$10,F683)</f>
        <v>10</v>
      </c>
      <c r="J683" s="2">
        <f>SUM(G683:I683)</f>
        <v>40</v>
      </c>
      <c r="K683" s="2">
        <f>SUMIFS($U$2:$U$10,$R$2:$R$10,E683)</f>
        <v>0.09</v>
      </c>
      <c r="L683" s="2">
        <f>SUMIFS($T$2:$T$10,$R$2:$R$10,F683)</f>
        <v>0.27</v>
      </c>
      <c r="M683" s="2">
        <f>SUMIFS($V$2:$V$10,$R$2:$R$10,D683)</f>
        <v>0.06</v>
      </c>
    </row>
    <row r="684" spans="1:13" x14ac:dyDescent="0.25">
      <c r="A684" s="2">
        <f>(A$2+A$2*K684+A$2*M684)*(1+L684)</f>
        <v>691.90480000000014</v>
      </c>
      <c r="B684" s="2">
        <f>(B$2+B$2*K684+B$2*M684)*(1+L684)</f>
        <v>804.7791000000002</v>
      </c>
      <c r="C684" s="2">
        <f>(C$2+C$2*K684+C$2*M684)*(1+L684)</f>
        <v>845.82429999999999</v>
      </c>
      <c r="D684" s="2">
        <v>7</v>
      </c>
      <c r="E684" s="2">
        <v>0</v>
      </c>
      <c r="F684" s="2">
        <v>7</v>
      </c>
      <c r="G684" s="2">
        <f>SUMIFS($S$2:$S$10,$R$2:$R$10,D684)</f>
        <v>20</v>
      </c>
      <c r="H684" s="2">
        <f>SUMIFS($S$2:$S$10,$R$2:$R$10,E684)</f>
        <v>0</v>
      </c>
      <c r="I684" s="2">
        <f>SUMIFS($S$2:$S$10,$R$2:$R$10,F684)</f>
        <v>20</v>
      </c>
      <c r="J684" s="2">
        <f>SUM(G684:I684)</f>
        <v>40</v>
      </c>
      <c r="K684" s="2">
        <f>SUMIFS($U$2:$U$10,$R$2:$R$10,E684)</f>
        <v>0</v>
      </c>
      <c r="L684" s="2">
        <f>SUMIFS($T$2:$T$10,$R$2:$R$10,F684)</f>
        <v>0.37</v>
      </c>
      <c r="M684" s="2">
        <f>SUMIFS($V$2:$V$10,$R$2:$R$10,D684)</f>
        <v>7.0000000000000007E-2</v>
      </c>
    </row>
    <row r="685" spans="1:13" x14ac:dyDescent="0.25">
      <c r="A685" s="2">
        <f>(A$2+A$2*K685+A$2*M685)*(1+L685)</f>
        <v>683.36160000000007</v>
      </c>
      <c r="B685" s="2">
        <f>(B$2+B$2*K685+B$2*M685)*(1+L685)</f>
        <v>794.84220000000016</v>
      </c>
      <c r="C685" s="2">
        <f>(C$2+C$2*K685+C$2*M685)*(1+L685)</f>
        <v>835.38059999999996</v>
      </c>
      <c r="D685" s="2">
        <v>7</v>
      </c>
      <c r="E685" s="2">
        <v>5</v>
      </c>
      <c r="F685" s="2">
        <v>5</v>
      </c>
      <c r="G685" s="2">
        <f>SUMIFS($S$2:$S$10,$R$2:$R$10,D685)</f>
        <v>20</v>
      </c>
      <c r="H685" s="2">
        <f>SUMIFS($S$2:$S$10,$R$2:$R$10,E685)</f>
        <v>10</v>
      </c>
      <c r="I685" s="2">
        <f>SUMIFS($S$2:$S$10,$R$2:$R$10,F685)</f>
        <v>10</v>
      </c>
      <c r="J685" s="2">
        <f>SUM(G685:I685)</f>
        <v>40</v>
      </c>
      <c r="K685" s="2">
        <f>SUMIFS($U$2:$U$10,$R$2:$R$10,E685)</f>
        <v>7.0000000000000007E-2</v>
      </c>
      <c r="L685" s="2">
        <f>SUMIFS($T$2:$T$10,$R$2:$R$10,F685)</f>
        <v>0.27</v>
      </c>
      <c r="M685" s="2">
        <f>SUMIFS($V$2:$V$10,$R$2:$R$10,D685)</f>
        <v>7.0000000000000007E-2</v>
      </c>
    </row>
    <row r="686" spans="1:13" x14ac:dyDescent="0.25">
      <c r="A686" s="2">
        <f>(A$2+A$2*K686+A$2*M686)*(1+L686)</f>
        <v>556.95999999999992</v>
      </c>
      <c r="B686" s="2">
        <f>(B$2+B$2*K686+B$2*M686)*(1+L686)</f>
        <v>647.81999999999994</v>
      </c>
      <c r="C686" s="2">
        <f>(C$2+C$2*K686+C$2*M686)*(1+L686)</f>
        <v>680.86</v>
      </c>
      <c r="D686" s="2">
        <v>7</v>
      </c>
      <c r="E686" s="2">
        <v>7</v>
      </c>
      <c r="F686" s="2">
        <v>0</v>
      </c>
      <c r="G686" s="2">
        <f>SUMIFS($S$2:$S$10,$R$2:$R$10,D686)</f>
        <v>20</v>
      </c>
      <c r="H686" s="2">
        <f>SUMIFS($S$2:$S$10,$R$2:$R$10,E686)</f>
        <v>20</v>
      </c>
      <c r="I686" s="2">
        <f>SUMIFS($S$2:$S$10,$R$2:$R$10,F686)</f>
        <v>0</v>
      </c>
      <c r="J686" s="2">
        <f>SUM(G686:I686)</f>
        <v>40</v>
      </c>
      <c r="K686" s="2">
        <f>SUMIFS($U$2:$U$10,$R$2:$R$10,E686)</f>
        <v>0.11</v>
      </c>
      <c r="L686" s="2">
        <f>SUMIFS($T$2:$T$10,$R$2:$R$10,F686)</f>
        <v>0</v>
      </c>
      <c r="M686" s="2">
        <f>SUMIFS($V$2:$V$10,$R$2:$R$10,D686)</f>
        <v>7.0000000000000007E-2</v>
      </c>
    </row>
    <row r="687" spans="1:13" x14ac:dyDescent="0.25">
      <c r="A687" s="2">
        <f>(A$2+A$2*K687+A$2*M687)*(1+L687)</f>
        <v>623.46479999999997</v>
      </c>
      <c r="B687" s="2">
        <f>(B$2+B$2*K687+B$2*M687)*(1+L687)</f>
        <v>725.17409999999995</v>
      </c>
      <c r="C687" s="2">
        <f>(C$2+C$2*K687+C$2*M687)*(1+L687)</f>
        <v>762.15929999999992</v>
      </c>
      <c r="D687" s="2">
        <v>9</v>
      </c>
      <c r="E687" s="2">
        <v>2</v>
      </c>
      <c r="F687" s="2">
        <v>3</v>
      </c>
      <c r="G687" s="2">
        <f>SUMIFS($S$2:$S$10,$R$2:$R$10,D687)</f>
        <v>34</v>
      </c>
      <c r="H687" s="2">
        <f>SUMIFS($S$2:$S$10,$R$2:$R$10,E687)</f>
        <v>2</v>
      </c>
      <c r="I687" s="2">
        <f>SUMIFS($S$2:$S$10,$R$2:$R$10,F687)</f>
        <v>4</v>
      </c>
      <c r="J687" s="2">
        <f>SUM(G687:I687)</f>
        <v>40</v>
      </c>
      <c r="K687" s="2">
        <f>SUMIFS($U$2:$U$10,$R$2:$R$10,E687)</f>
        <v>0.02</v>
      </c>
      <c r="L687" s="2">
        <f>SUMIFS($T$2:$T$10,$R$2:$R$10,F687)</f>
        <v>0.19</v>
      </c>
      <c r="M687" s="2">
        <f>SUMIFS($V$2:$V$10,$R$2:$R$10,D687)</f>
        <v>0.09</v>
      </c>
    </row>
    <row r="688" spans="1:13" x14ac:dyDescent="0.25">
      <c r="A688" s="2">
        <f>(A$2+A$2*K688+A$2*M688)*(1+L688)</f>
        <v>613.22239999999999</v>
      </c>
      <c r="B688" s="2">
        <f>(B$2+B$2*K688+B$2*M688)*(1+L688)</f>
        <v>713.2607999999999</v>
      </c>
      <c r="C688" s="2">
        <f>(C$2+C$2*K688+C$2*M688)*(1+L688)</f>
        <v>749.63839999999982</v>
      </c>
      <c r="D688" s="2">
        <v>9</v>
      </c>
      <c r="E688" s="2">
        <v>3</v>
      </c>
      <c r="F688" s="2">
        <v>2</v>
      </c>
      <c r="G688" s="2">
        <f>SUMIFS($S$2:$S$10,$R$2:$R$10,D688)</f>
        <v>34</v>
      </c>
      <c r="H688" s="2">
        <f>SUMIFS($S$2:$S$10,$R$2:$R$10,E688)</f>
        <v>4</v>
      </c>
      <c r="I688" s="2">
        <f>SUMIFS($S$2:$S$10,$R$2:$R$10,F688)</f>
        <v>2</v>
      </c>
      <c r="J688" s="2">
        <f>SUM(G688:I688)</f>
        <v>40</v>
      </c>
      <c r="K688" s="2">
        <f>SUMIFS($U$2:$U$10,$R$2:$R$10,E688)</f>
        <v>0.03</v>
      </c>
      <c r="L688" s="2">
        <f>SUMIFS($T$2:$T$10,$R$2:$R$10,F688)</f>
        <v>0.16</v>
      </c>
      <c r="M688" s="2">
        <f>SUMIFS($V$2:$V$10,$R$2:$R$10,D688)</f>
        <v>0.09</v>
      </c>
    </row>
    <row r="689" spans="1:13" x14ac:dyDescent="0.25">
      <c r="A689" s="1">
        <f>(A$2+A$2*K689+A$2*L689)*(1+M689)</f>
        <v>698.37120000000016</v>
      </c>
      <c r="B689" s="1">
        <f>(B$2+B$2*K689+B$2*L689)*(1+M689)</f>
        <v>812.3004000000002</v>
      </c>
      <c r="C689" s="1">
        <f>(C$2+C$2*K689+C$2*L689)*(1+M689)</f>
        <v>853.72919999999999</v>
      </c>
      <c r="D689" s="1">
        <v>7</v>
      </c>
      <c r="E689" s="1">
        <v>1</v>
      </c>
      <c r="F689" s="1">
        <v>7</v>
      </c>
      <c r="G689" s="1">
        <f>SUMIFS($S$2:$S$10,$R$2:$R$10,D689)</f>
        <v>20</v>
      </c>
      <c r="H689" s="1">
        <f>SUMIFS($S$2:$S$10,$R$2:$R$10,E689)</f>
        <v>1</v>
      </c>
      <c r="I689" s="1">
        <f>SUMIFS($S$2:$S$10,$R$2:$R$10,F689)</f>
        <v>20</v>
      </c>
      <c r="J689" s="1">
        <f>SUM(G689:I689)</f>
        <v>41</v>
      </c>
      <c r="K689" s="1">
        <f>SUMIFS($U$2:$U$10,$R$2:$R$10,E689)</f>
        <v>0.01</v>
      </c>
      <c r="L689" s="1">
        <f>SUMIFS($V$2:$V$10,$R$2:$R$10,F689)</f>
        <v>7.0000000000000007E-2</v>
      </c>
      <c r="M689" s="1">
        <f>SUMIFS($T$2:$T$10,$R$2:$R$10,D689)</f>
        <v>0.37</v>
      </c>
    </row>
    <row r="690" spans="1:13" x14ac:dyDescent="0.25">
      <c r="A690" s="1">
        <f>(A$2+A$2*K690+A$2*L690)*(1+M690)</f>
        <v>724.23680000000002</v>
      </c>
      <c r="B690" s="1">
        <f>(B$2+B$2*K690+B$2*L690)*(1+M690)</f>
        <v>842.38560000000007</v>
      </c>
      <c r="C690" s="1">
        <f>(C$2+C$2*K690+C$2*L690)*(1+M690)</f>
        <v>885.3488000000001</v>
      </c>
      <c r="D690" s="1">
        <v>7</v>
      </c>
      <c r="E690" s="1">
        <v>7</v>
      </c>
      <c r="F690" s="1">
        <v>1</v>
      </c>
      <c r="G690" s="1">
        <f>SUMIFS($S$2:$S$10,$R$2:$R$10,D690)</f>
        <v>20</v>
      </c>
      <c r="H690" s="1">
        <f>SUMIFS($S$2:$S$10,$R$2:$R$10,E690)</f>
        <v>20</v>
      </c>
      <c r="I690" s="1">
        <f>SUMIFS($S$2:$S$10,$R$2:$R$10,F690)</f>
        <v>1</v>
      </c>
      <c r="J690" s="1">
        <f>SUM(G690:I690)</f>
        <v>41</v>
      </c>
      <c r="K690" s="1">
        <f>SUMIFS($U$2:$U$10,$R$2:$R$10,E690)</f>
        <v>0.11</v>
      </c>
      <c r="L690" s="1">
        <f>SUMIFS($V$2:$V$10,$R$2:$R$10,F690)</f>
        <v>0.01</v>
      </c>
      <c r="M690" s="1">
        <f>SUMIFS($T$2:$T$10,$R$2:$R$10,D690)</f>
        <v>0.37</v>
      </c>
    </row>
    <row r="691" spans="1:13" x14ac:dyDescent="0.25">
      <c r="A691" s="1">
        <f>(A$2+A$2*K691+A$2*L691)*(1+M691)</f>
        <v>728.95680000000004</v>
      </c>
      <c r="B691" s="1">
        <f>(B$2+B$2*K691+B$2*L691)*(1+M691)</f>
        <v>847.87560000000008</v>
      </c>
      <c r="C691" s="1">
        <f>(C$2+C$2*K691+C$2*L691)*(1+M691)</f>
        <v>891.11879999999996</v>
      </c>
      <c r="D691" s="1">
        <v>8</v>
      </c>
      <c r="E691" s="1">
        <v>3</v>
      </c>
      <c r="F691" s="1">
        <v>5</v>
      </c>
      <c r="G691" s="1">
        <f>SUMIFS($S$2:$S$10,$R$2:$R$10,D691)</f>
        <v>27</v>
      </c>
      <c r="H691" s="1">
        <f>SUMIFS($S$2:$S$10,$R$2:$R$10,E691)</f>
        <v>4</v>
      </c>
      <c r="I691" s="1">
        <f>SUMIFS($S$2:$S$10,$R$2:$R$10,F691)</f>
        <v>10</v>
      </c>
      <c r="J691" s="1">
        <f>SUM(G691:I691)</f>
        <v>41</v>
      </c>
      <c r="K691" s="1">
        <f>SUMIFS($U$2:$U$10,$R$2:$R$10,E691)</f>
        <v>0.03</v>
      </c>
      <c r="L691" s="1">
        <f>SUMIFS($V$2:$V$10,$R$2:$R$10,F691)</f>
        <v>0.05</v>
      </c>
      <c r="M691" s="1">
        <f>SUMIFS($T$2:$T$10,$R$2:$R$10,D691)</f>
        <v>0.43</v>
      </c>
    </row>
    <row r="692" spans="1:13" x14ac:dyDescent="0.25">
      <c r="A692" s="1">
        <f>(A$2+A$2*K692+A$2*L692)*(1+M692)</f>
        <v>735.70640000000003</v>
      </c>
      <c r="B692" s="1">
        <f>(B$2+B$2*K692+B$2*L692)*(1+M692)</f>
        <v>855.72630000000004</v>
      </c>
      <c r="C692" s="1">
        <f>(C$2+C$2*K692+C$2*L692)*(1+M692)</f>
        <v>899.36990000000003</v>
      </c>
      <c r="D692" s="1">
        <v>8</v>
      </c>
      <c r="E692" s="1">
        <v>4</v>
      </c>
      <c r="F692" s="1">
        <v>4</v>
      </c>
      <c r="G692" s="1">
        <f>SUMIFS($S$2:$S$10,$R$2:$R$10,D692)</f>
        <v>27</v>
      </c>
      <c r="H692" s="1">
        <f>SUMIFS($S$2:$S$10,$R$2:$R$10,E692)</f>
        <v>7</v>
      </c>
      <c r="I692" s="1">
        <f>SUMIFS($S$2:$S$10,$R$2:$R$10,F692)</f>
        <v>7</v>
      </c>
      <c r="J692" s="1">
        <f>SUM(G692:I692)</f>
        <v>41</v>
      </c>
      <c r="K692" s="1">
        <f>SUMIFS($U$2:$U$10,$R$2:$R$10,E692)</f>
        <v>0.05</v>
      </c>
      <c r="L692" s="1">
        <f>SUMIFS($V$2:$V$10,$R$2:$R$10,F692)</f>
        <v>0.04</v>
      </c>
      <c r="M692" s="1">
        <f>SUMIFS($T$2:$T$10,$R$2:$R$10,D692)</f>
        <v>0.43</v>
      </c>
    </row>
    <row r="693" spans="1:13" x14ac:dyDescent="0.25">
      <c r="A693" s="1">
        <f>(A$2+A$2*K693+A$2*L693)*(1+M693)</f>
        <v>742.45600000000002</v>
      </c>
      <c r="B693" s="1">
        <f>(B$2+B$2*K693+B$2*L693)*(1+M693)</f>
        <v>863.57700000000011</v>
      </c>
      <c r="C693" s="1">
        <f>(C$2+C$2*K693+C$2*L693)*(1+M693)</f>
        <v>907.62099999999987</v>
      </c>
      <c r="D693" s="1">
        <v>8</v>
      </c>
      <c r="E693" s="1">
        <v>5</v>
      </c>
      <c r="F693" s="1">
        <v>3</v>
      </c>
      <c r="G693" s="1">
        <f>SUMIFS($S$2:$S$10,$R$2:$R$10,D693)</f>
        <v>27</v>
      </c>
      <c r="H693" s="1">
        <f>SUMIFS($S$2:$S$10,$R$2:$R$10,E693)</f>
        <v>10</v>
      </c>
      <c r="I693" s="1">
        <f>SUMIFS($S$2:$S$10,$R$2:$R$10,F693)</f>
        <v>4</v>
      </c>
      <c r="J693" s="1">
        <f>SUM(G693:I693)</f>
        <v>41</v>
      </c>
      <c r="K693" s="1">
        <f>SUMIFS($U$2:$U$10,$R$2:$R$10,E693)</f>
        <v>7.0000000000000007E-2</v>
      </c>
      <c r="L693" s="1">
        <f>SUMIFS($V$2:$V$10,$R$2:$R$10,F693)</f>
        <v>0.03</v>
      </c>
      <c r="M693" s="1">
        <f>SUMIFS($T$2:$T$10,$R$2:$R$10,D693)</f>
        <v>0.43</v>
      </c>
    </row>
    <row r="694" spans="1:13" x14ac:dyDescent="0.25">
      <c r="A694" s="1">
        <f>(A$2+A$2*K694+A$2*L694)*(1+M694)</f>
        <v>731.41120000000001</v>
      </c>
      <c r="B694" s="1">
        <f>(B$2+B$2*K694+B$2*L694)*(1+M694)</f>
        <v>850.73040000000003</v>
      </c>
      <c r="C694" s="1">
        <f>(C$2+C$2*K694+C$2*L694)*(1+M694)</f>
        <v>894.11920000000009</v>
      </c>
      <c r="D694" s="1">
        <v>9</v>
      </c>
      <c r="E694" s="1">
        <v>0</v>
      </c>
      <c r="F694" s="1">
        <v>4</v>
      </c>
      <c r="G694" s="1">
        <f>SUMIFS($S$2:$S$10,$R$2:$R$10,D694)</f>
        <v>34</v>
      </c>
      <c r="H694" s="1">
        <f>SUMIFS($S$2:$S$10,$R$2:$R$10,E694)</f>
        <v>0</v>
      </c>
      <c r="I694" s="1">
        <f>SUMIFS($S$2:$S$10,$R$2:$R$10,F694)</f>
        <v>7</v>
      </c>
      <c r="J694" s="1">
        <f>SUM(G694:I694)</f>
        <v>41</v>
      </c>
      <c r="K694" s="1">
        <f>SUMIFS($U$2:$U$10,$R$2:$R$10,E694)</f>
        <v>0</v>
      </c>
      <c r="L694" s="1">
        <f>SUMIFS($V$2:$V$10,$R$2:$R$10,F694)</f>
        <v>0.04</v>
      </c>
      <c r="M694" s="1">
        <f>SUMIFS($T$2:$T$10,$R$2:$R$10,D694)</f>
        <v>0.49</v>
      </c>
    </row>
    <row r="695" spans="1:13" x14ac:dyDescent="0.25">
      <c r="A695" s="1">
        <f>(A$2+A$2*K695+A$2*L695)*(1+M695)</f>
        <v>738.44400000000007</v>
      </c>
      <c r="B695" s="1">
        <f>(B$2+B$2*K695+B$2*L695)*(1+M695)</f>
        <v>858.91050000000007</v>
      </c>
      <c r="C695" s="1">
        <f>(C$2+C$2*K695+C$2*L695)*(1+M695)</f>
        <v>902.7165</v>
      </c>
      <c r="D695" s="1">
        <v>9</v>
      </c>
      <c r="E695" s="1">
        <v>4</v>
      </c>
      <c r="F695" s="1">
        <v>0</v>
      </c>
      <c r="G695" s="1">
        <f>SUMIFS($S$2:$S$10,$R$2:$R$10,D695)</f>
        <v>34</v>
      </c>
      <c r="H695" s="1">
        <f>SUMIFS($S$2:$S$10,$R$2:$R$10,E695)</f>
        <v>7</v>
      </c>
      <c r="I695" s="1">
        <f>SUMIFS($S$2:$S$10,$R$2:$R$10,F695)</f>
        <v>0</v>
      </c>
      <c r="J695" s="1">
        <f>SUM(G695:I695)</f>
        <v>41</v>
      </c>
      <c r="K695" s="1">
        <f>SUMIFS($U$2:$U$10,$R$2:$R$10,E695)</f>
        <v>0.05</v>
      </c>
      <c r="L695" s="1">
        <f>SUMIFS($V$2:$V$10,$R$2:$R$10,F695)</f>
        <v>0</v>
      </c>
      <c r="M695" s="1">
        <f>SUMIFS($T$2:$T$10,$R$2:$R$10,D695)</f>
        <v>0.49</v>
      </c>
    </row>
    <row r="696" spans="1:13" x14ac:dyDescent="0.25">
      <c r="A696" s="3">
        <f>(A$2+A$2*M696+A$2*L696)*(1+K696)</f>
        <v>629.36479999999983</v>
      </c>
      <c r="B696" s="3">
        <f>(B$2+B$2*M696+B$2*L696)*(1+K696)</f>
        <v>732.03659999999991</v>
      </c>
      <c r="C696" s="3">
        <f>(C$2+C$2*M696+C$2*L696)*(1+K696)</f>
        <v>769.37179999999989</v>
      </c>
      <c r="D696" s="3">
        <v>7</v>
      </c>
      <c r="E696" s="3">
        <v>1</v>
      </c>
      <c r="F696" s="3">
        <v>7</v>
      </c>
      <c r="G696" s="3">
        <f>SUMIFS($S$2:$S$10,$R$2:$R$10,D696)</f>
        <v>20</v>
      </c>
      <c r="H696" s="3">
        <f>SUMIFS($S$2:$S$10,$R$2:$R$10,E696)</f>
        <v>1</v>
      </c>
      <c r="I696" s="3">
        <f>SUMIFS($S$2:$S$10,$R$2:$R$10,F696)</f>
        <v>20</v>
      </c>
      <c r="J696" s="3">
        <f>SUM(G696:I696)</f>
        <v>41</v>
      </c>
      <c r="K696" s="3">
        <f>SUMIFS($T$2:$T$10,$R$2:$R$10,E696)</f>
        <v>0.13</v>
      </c>
      <c r="L696" s="3">
        <f>SUMIFS($V$2:$V$10,$R$2:$R$10,F696)</f>
        <v>7.0000000000000007E-2</v>
      </c>
      <c r="M696" s="3">
        <f>SUMIFS($U$2:$U$10,$R$2:$R$10,D696)</f>
        <v>0.11</v>
      </c>
    </row>
    <row r="697" spans="1:13" x14ac:dyDescent="0.25">
      <c r="A697" s="3">
        <f>(A$2+A$2*M697+A$2*L697)*(1+K697)</f>
        <v>724.23680000000002</v>
      </c>
      <c r="B697" s="3">
        <f>(B$2+B$2*M697+B$2*L697)*(1+K697)</f>
        <v>842.38560000000007</v>
      </c>
      <c r="C697" s="3">
        <f>(C$2+C$2*M697+C$2*L697)*(1+K697)</f>
        <v>885.3488000000001</v>
      </c>
      <c r="D697" s="3">
        <v>7</v>
      </c>
      <c r="E697" s="3">
        <v>7</v>
      </c>
      <c r="F697" s="3">
        <v>1</v>
      </c>
      <c r="G697" s="3">
        <f>SUMIFS($S$2:$S$10,$R$2:$R$10,D697)</f>
        <v>20</v>
      </c>
      <c r="H697" s="3">
        <f>SUMIFS($S$2:$S$10,$R$2:$R$10,E697)</f>
        <v>20</v>
      </c>
      <c r="I697" s="3">
        <f>SUMIFS($S$2:$S$10,$R$2:$R$10,F697)</f>
        <v>1</v>
      </c>
      <c r="J697" s="3">
        <f>SUM(G697:I697)</f>
        <v>41</v>
      </c>
      <c r="K697" s="3">
        <f>SUMIFS($T$2:$T$10,$R$2:$R$10,E697)</f>
        <v>0.37</v>
      </c>
      <c r="L697" s="3">
        <f>SUMIFS($V$2:$V$10,$R$2:$R$10,F697)</f>
        <v>0.01</v>
      </c>
      <c r="M697" s="3">
        <f>SUMIFS($U$2:$U$10,$R$2:$R$10,D697)</f>
        <v>0.11</v>
      </c>
    </row>
    <row r="698" spans="1:13" x14ac:dyDescent="0.25">
      <c r="A698" s="3">
        <f>(A$2+A$2*M698+A$2*L698)*(1+K698)</f>
        <v>662.78240000000005</v>
      </c>
      <c r="B698" s="3">
        <f>(B$2+B$2*M698+B$2*L698)*(1+K698)</f>
        <v>770.9058</v>
      </c>
      <c r="C698" s="3">
        <f>(C$2+C$2*M698+C$2*L698)*(1+K698)</f>
        <v>810.22339999999997</v>
      </c>
      <c r="D698" s="3">
        <v>8</v>
      </c>
      <c r="E698" s="3">
        <v>3</v>
      </c>
      <c r="F698" s="3">
        <v>5</v>
      </c>
      <c r="G698" s="3">
        <f>SUMIFS($S$2:$S$10,$R$2:$R$10,D698)</f>
        <v>27</v>
      </c>
      <c r="H698" s="3">
        <f>SUMIFS($S$2:$S$10,$R$2:$R$10,E698)</f>
        <v>4</v>
      </c>
      <c r="I698" s="3">
        <f>SUMIFS($S$2:$S$10,$R$2:$R$10,F698)</f>
        <v>10</v>
      </c>
      <c r="J698" s="3">
        <f>SUM(G698:I698)</f>
        <v>41</v>
      </c>
      <c r="K698" s="3">
        <f>SUMIFS($T$2:$T$10,$R$2:$R$10,E698)</f>
        <v>0.19</v>
      </c>
      <c r="L698" s="3">
        <f>SUMIFS($V$2:$V$10,$R$2:$R$10,F698)</f>
        <v>0.05</v>
      </c>
      <c r="M698" s="3">
        <f>SUMIFS($U$2:$U$10,$R$2:$R$10,D698)</f>
        <v>0.13</v>
      </c>
    </row>
    <row r="699" spans="1:13" x14ac:dyDescent="0.25">
      <c r="A699" s="3">
        <f>(A$2+A$2*M699+A$2*L699)*(1+K699)</f>
        <v>673.7328</v>
      </c>
      <c r="B699" s="3">
        <f>(B$2+B$2*M699+B$2*L699)*(1+K699)</f>
        <v>783.64260000000002</v>
      </c>
      <c r="C699" s="3">
        <f>(C$2+C$2*M699+C$2*L699)*(1+K699)</f>
        <v>823.60980000000006</v>
      </c>
      <c r="D699" s="3">
        <v>8</v>
      </c>
      <c r="E699" s="3">
        <v>4</v>
      </c>
      <c r="F699" s="3">
        <v>4</v>
      </c>
      <c r="G699" s="3">
        <f>SUMIFS($S$2:$S$10,$R$2:$R$10,D699)</f>
        <v>27</v>
      </c>
      <c r="H699" s="3">
        <f>SUMIFS($S$2:$S$10,$R$2:$R$10,E699)</f>
        <v>7</v>
      </c>
      <c r="I699" s="3">
        <f>SUMIFS($S$2:$S$10,$R$2:$R$10,F699)</f>
        <v>7</v>
      </c>
      <c r="J699" s="3">
        <f>SUM(G699:I699)</f>
        <v>41</v>
      </c>
      <c r="K699" s="3">
        <f>SUMIFS($T$2:$T$10,$R$2:$R$10,E699)</f>
        <v>0.22</v>
      </c>
      <c r="L699" s="3">
        <f>SUMIFS($V$2:$V$10,$R$2:$R$10,F699)</f>
        <v>0.04</v>
      </c>
      <c r="M699" s="3">
        <f>SUMIFS($U$2:$U$10,$R$2:$R$10,D699)</f>
        <v>0.13</v>
      </c>
    </row>
    <row r="700" spans="1:13" x14ac:dyDescent="0.25">
      <c r="A700" s="3">
        <f>(A$2+A$2*M700+A$2*L700)*(1+K700)</f>
        <v>695.35040000000004</v>
      </c>
      <c r="B700" s="3">
        <f>(B$2+B$2*M700+B$2*L700)*(1+K700)</f>
        <v>808.78680000000008</v>
      </c>
      <c r="C700" s="3">
        <f>(C$2+C$2*M700+C$2*L700)*(1+K700)</f>
        <v>850.03639999999996</v>
      </c>
      <c r="D700" s="3">
        <v>8</v>
      </c>
      <c r="E700" s="3">
        <v>5</v>
      </c>
      <c r="F700" s="3">
        <v>3</v>
      </c>
      <c r="G700" s="3">
        <f>SUMIFS($S$2:$S$10,$R$2:$R$10,D700)</f>
        <v>27</v>
      </c>
      <c r="H700" s="3">
        <f>SUMIFS($S$2:$S$10,$R$2:$R$10,E700)</f>
        <v>10</v>
      </c>
      <c r="I700" s="3">
        <f>SUMIFS($S$2:$S$10,$R$2:$R$10,F700)</f>
        <v>4</v>
      </c>
      <c r="J700" s="3">
        <f>SUM(G700:I700)</f>
        <v>41</v>
      </c>
      <c r="K700" s="3">
        <f>SUMIFS($T$2:$T$10,$R$2:$R$10,E700)</f>
        <v>0.27</v>
      </c>
      <c r="L700" s="3">
        <f>SUMIFS($V$2:$V$10,$R$2:$R$10,F700)</f>
        <v>0.03</v>
      </c>
      <c r="M700" s="3">
        <f>SUMIFS($U$2:$U$10,$R$2:$R$10,D700)</f>
        <v>0.13</v>
      </c>
    </row>
    <row r="701" spans="1:13" x14ac:dyDescent="0.25">
      <c r="A701" s="3">
        <f>(A$2+A$2*M701+A$2*L701)*(1+K701)</f>
        <v>561.67999999999995</v>
      </c>
      <c r="B701" s="3">
        <f>(B$2+B$2*M701+B$2*L701)*(1+K701)</f>
        <v>653.31000000000006</v>
      </c>
      <c r="C701" s="3">
        <f>(C$2+C$2*M701+C$2*L701)*(1+K701)</f>
        <v>686.63</v>
      </c>
      <c r="D701" s="3">
        <v>9</v>
      </c>
      <c r="E701" s="3">
        <v>0</v>
      </c>
      <c r="F701" s="3">
        <v>4</v>
      </c>
      <c r="G701" s="3">
        <f>SUMIFS($S$2:$S$10,$R$2:$R$10,D701)</f>
        <v>34</v>
      </c>
      <c r="H701" s="3">
        <f>SUMIFS($S$2:$S$10,$R$2:$R$10,E701)</f>
        <v>0</v>
      </c>
      <c r="I701" s="3">
        <f>SUMIFS($S$2:$S$10,$R$2:$R$10,F701)</f>
        <v>7</v>
      </c>
      <c r="J701" s="3">
        <f>SUM(G701:I701)</f>
        <v>41</v>
      </c>
      <c r="K701" s="3">
        <f>SUMIFS($T$2:$T$10,$R$2:$R$10,E701)</f>
        <v>0</v>
      </c>
      <c r="L701" s="3">
        <f>SUMIFS($V$2:$V$10,$R$2:$R$10,F701)</f>
        <v>0.04</v>
      </c>
      <c r="M701" s="3">
        <f>SUMIFS($U$2:$U$10,$R$2:$R$10,D701)</f>
        <v>0.15</v>
      </c>
    </row>
    <row r="702" spans="1:13" x14ac:dyDescent="0.25">
      <c r="A702" s="3">
        <f>(A$2+A$2*M702+A$2*L702)*(1+K702)</f>
        <v>662.21599999999989</v>
      </c>
      <c r="B702" s="3">
        <f>(B$2+B$2*M702+B$2*L702)*(1+K702)</f>
        <v>770.24699999999996</v>
      </c>
      <c r="C702" s="3">
        <f>(C$2+C$2*M702+C$2*L702)*(1+K702)</f>
        <v>809.53099999999995</v>
      </c>
      <c r="D702" s="3">
        <v>9</v>
      </c>
      <c r="E702" s="3">
        <v>4</v>
      </c>
      <c r="F702" s="3">
        <v>0</v>
      </c>
      <c r="G702" s="3">
        <f>SUMIFS($S$2:$S$10,$R$2:$R$10,D702)</f>
        <v>34</v>
      </c>
      <c r="H702" s="3">
        <f>SUMIFS($S$2:$S$10,$R$2:$R$10,E702)</f>
        <v>7</v>
      </c>
      <c r="I702" s="3">
        <f>SUMIFS($S$2:$S$10,$R$2:$R$10,F702)</f>
        <v>0</v>
      </c>
      <c r="J702" s="3">
        <f>SUM(G702:I702)</f>
        <v>41</v>
      </c>
      <c r="K702" s="3">
        <f>SUMIFS($T$2:$T$10,$R$2:$R$10,E702)</f>
        <v>0.22</v>
      </c>
      <c r="L702" s="3">
        <f>SUMIFS($V$2:$V$10,$R$2:$R$10,F702)</f>
        <v>0</v>
      </c>
      <c r="M702" s="3">
        <f>SUMIFS($U$2:$U$10,$R$2:$R$10,D702)</f>
        <v>0.15</v>
      </c>
    </row>
    <row r="703" spans="1:13" x14ac:dyDescent="0.25">
      <c r="A703" s="2">
        <f>(A$2+A$2*K703+A$2*M703)*(1+L703)</f>
        <v>698.37120000000016</v>
      </c>
      <c r="B703" s="2">
        <f>(B$2+B$2*K703+B$2*M703)*(1+L703)</f>
        <v>812.3004000000002</v>
      </c>
      <c r="C703" s="2">
        <f>(C$2+C$2*K703+C$2*M703)*(1+L703)</f>
        <v>853.72919999999999</v>
      </c>
      <c r="D703" s="2">
        <v>7</v>
      </c>
      <c r="E703" s="2">
        <v>1</v>
      </c>
      <c r="F703" s="2">
        <v>7</v>
      </c>
      <c r="G703" s="2">
        <f>SUMIFS($S$2:$S$10,$R$2:$R$10,D703)</f>
        <v>20</v>
      </c>
      <c r="H703" s="2">
        <f>SUMIFS($S$2:$S$10,$R$2:$R$10,E703)</f>
        <v>1</v>
      </c>
      <c r="I703" s="2">
        <f>SUMIFS($S$2:$S$10,$R$2:$R$10,F703)</f>
        <v>20</v>
      </c>
      <c r="J703" s="2">
        <f>SUM(G703:I703)</f>
        <v>41</v>
      </c>
      <c r="K703" s="2">
        <f>SUMIFS($U$2:$U$10,$R$2:$R$10,E703)</f>
        <v>0.01</v>
      </c>
      <c r="L703" s="2">
        <f>SUMIFS($T$2:$T$10,$R$2:$R$10,F703)</f>
        <v>0.37</v>
      </c>
      <c r="M703" s="2">
        <f>SUMIFS($V$2:$V$10,$R$2:$R$10,D703)</f>
        <v>7.0000000000000007E-2</v>
      </c>
    </row>
    <row r="704" spans="1:13" x14ac:dyDescent="0.25">
      <c r="A704" s="2">
        <f>(A$2+A$2*K704+A$2*M704)*(1+L704)</f>
        <v>629.36479999999983</v>
      </c>
      <c r="B704" s="2">
        <f>(B$2+B$2*K704+B$2*M704)*(1+L704)</f>
        <v>732.03659999999991</v>
      </c>
      <c r="C704" s="2">
        <f>(C$2+C$2*K704+C$2*M704)*(1+L704)</f>
        <v>769.37179999999989</v>
      </c>
      <c r="D704" s="2">
        <v>7</v>
      </c>
      <c r="E704" s="2">
        <v>7</v>
      </c>
      <c r="F704" s="2">
        <v>1</v>
      </c>
      <c r="G704" s="2">
        <f>SUMIFS($S$2:$S$10,$R$2:$R$10,D704)</f>
        <v>20</v>
      </c>
      <c r="H704" s="2">
        <f>SUMIFS($S$2:$S$10,$R$2:$R$10,E704)</f>
        <v>20</v>
      </c>
      <c r="I704" s="2">
        <f>SUMIFS($S$2:$S$10,$R$2:$R$10,F704)</f>
        <v>1</v>
      </c>
      <c r="J704" s="2">
        <f>SUM(G704:I704)</f>
        <v>41</v>
      </c>
      <c r="K704" s="2">
        <f>SUMIFS($U$2:$U$10,$R$2:$R$10,E704)</f>
        <v>0.11</v>
      </c>
      <c r="L704" s="2">
        <f>SUMIFS($T$2:$T$10,$R$2:$R$10,F704)</f>
        <v>0.13</v>
      </c>
      <c r="M704" s="2">
        <f>SUMIFS($V$2:$V$10,$R$2:$R$10,D704)</f>
        <v>7.0000000000000007E-2</v>
      </c>
    </row>
    <row r="705" spans="1:13" x14ac:dyDescent="0.25">
      <c r="A705" s="2">
        <f>(A$2+A$2*K705+A$2*M705)*(1+L705)</f>
        <v>665.37840000000006</v>
      </c>
      <c r="B705" s="2">
        <f>(B$2+B$2*K705+B$2*M705)*(1+L705)</f>
        <v>773.92529999999999</v>
      </c>
      <c r="C705" s="2">
        <f>(C$2+C$2*K705+C$2*M705)*(1+L705)</f>
        <v>813.39689999999985</v>
      </c>
      <c r="D705" s="2">
        <v>8</v>
      </c>
      <c r="E705" s="2">
        <v>3</v>
      </c>
      <c r="F705" s="2">
        <v>5</v>
      </c>
      <c r="G705" s="2">
        <f>SUMIFS($S$2:$S$10,$R$2:$R$10,D705)</f>
        <v>27</v>
      </c>
      <c r="H705" s="2">
        <f>SUMIFS($S$2:$S$10,$R$2:$R$10,E705)</f>
        <v>4</v>
      </c>
      <c r="I705" s="2">
        <f>SUMIFS($S$2:$S$10,$R$2:$R$10,F705)</f>
        <v>10</v>
      </c>
      <c r="J705" s="2">
        <f>SUM(G705:I705)</f>
        <v>41</v>
      </c>
      <c r="K705" s="2">
        <f>SUMIFS($U$2:$U$10,$R$2:$R$10,E705)</f>
        <v>0.03</v>
      </c>
      <c r="L705" s="2">
        <f>SUMIFS($T$2:$T$10,$R$2:$R$10,F705)</f>
        <v>0.27</v>
      </c>
      <c r="M705" s="2">
        <f>SUMIFS($V$2:$V$10,$R$2:$R$10,D705)</f>
        <v>0.08</v>
      </c>
    </row>
    <row r="706" spans="1:13" x14ac:dyDescent="0.25">
      <c r="A706" s="2">
        <f>(A$2+A$2*K706+A$2*M706)*(1+L706)</f>
        <v>650.69920000000002</v>
      </c>
      <c r="B706" s="2">
        <f>(B$2+B$2*K706+B$2*M706)*(1+L706)</f>
        <v>756.85140000000001</v>
      </c>
      <c r="C706" s="2">
        <f>(C$2+C$2*K706+C$2*M706)*(1+L706)</f>
        <v>795.45219999999995</v>
      </c>
      <c r="D706" s="2">
        <v>8</v>
      </c>
      <c r="E706" s="2">
        <v>4</v>
      </c>
      <c r="F706" s="2">
        <v>4</v>
      </c>
      <c r="G706" s="2">
        <f>SUMIFS($S$2:$S$10,$R$2:$R$10,D706)</f>
        <v>27</v>
      </c>
      <c r="H706" s="2">
        <f>SUMIFS($S$2:$S$10,$R$2:$R$10,E706)</f>
        <v>7</v>
      </c>
      <c r="I706" s="2">
        <f>SUMIFS($S$2:$S$10,$R$2:$R$10,F706)</f>
        <v>7</v>
      </c>
      <c r="J706" s="2">
        <f>SUM(G706:I706)</f>
        <v>41</v>
      </c>
      <c r="K706" s="2">
        <f>SUMIFS($U$2:$U$10,$R$2:$R$10,E706)</f>
        <v>0.05</v>
      </c>
      <c r="L706" s="2">
        <f>SUMIFS($T$2:$T$10,$R$2:$R$10,F706)</f>
        <v>0.22</v>
      </c>
      <c r="M706" s="2">
        <f>SUMIFS($V$2:$V$10,$R$2:$R$10,D706)</f>
        <v>0.08</v>
      </c>
    </row>
    <row r="707" spans="1:13" x14ac:dyDescent="0.25">
      <c r="A707" s="2">
        <f>(A$2+A$2*K707+A$2*M707)*(1+L707)</f>
        <v>645.93200000000002</v>
      </c>
      <c r="B707" s="2">
        <f>(B$2+B$2*K707+B$2*M707)*(1+L707)</f>
        <v>751.30650000000003</v>
      </c>
      <c r="C707" s="2">
        <f>(C$2+C$2*K707+C$2*M707)*(1+L707)</f>
        <v>789.6244999999999</v>
      </c>
      <c r="D707" s="2">
        <v>8</v>
      </c>
      <c r="E707" s="2">
        <v>5</v>
      </c>
      <c r="F707" s="2">
        <v>3</v>
      </c>
      <c r="G707" s="2">
        <f>SUMIFS($S$2:$S$10,$R$2:$R$10,D707)</f>
        <v>27</v>
      </c>
      <c r="H707" s="2">
        <f>SUMIFS($S$2:$S$10,$R$2:$R$10,E707)</f>
        <v>10</v>
      </c>
      <c r="I707" s="2">
        <f>SUMIFS($S$2:$S$10,$R$2:$R$10,F707)</f>
        <v>4</v>
      </c>
      <c r="J707" s="2">
        <f>SUM(G707:I707)</f>
        <v>41</v>
      </c>
      <c r="K707" s="2">
        <f>SUMIFS($U$2:$U$10,$R$2:$R$10,E707)</f>
        <v>7.0000000000000007E-2</v>
      </c>
      <c r="L707" s="2">
        <f>SUMIFS($T$2:$T$10,$R$2:$R$10,F707)</f>
        <v>0.19</v>
      </c>
      <c r="M707" s="2">
        <f>SUMIFS($V$2:$V$10,$R$2:$R$10,D707)</f>
        <v>0.08</v>
      </c>
    </row>
    <row r="708" spans="1:13" x14ac:dyDescent="0.25">
      <c r="A708" s="2">
        <f>(A$2+A$2*K708+A$2*M708)*(1+L708)</f>
        <v>627.66560000000004</v>
      </c>
      <c r="B708" s="2">
        <f>(B$2+B$2*K708+B$2*M708)*(1+L708)</f>
        <v>730.0601999999999</v>
      </c>
      <c r="C708" s="2">
        <f>(C$2+C$2*K708+C$2*M708)*(1+L708)</f>
        <v>767.29459999999995</v>
      </c>
      <c r="D708" s="2">
        <v>9</v>
      </c>
      <c r="E708" s="2">
        <v>0</v>
      </c>
      <c r="F708" s="2">
        <v>4</v>
      </c>
      <c r="G708" s="2">
        <f>SUMIFS($S$2:$S$10,$R$2:$R$10,D708)</f>
        <v>34</v>
      </c>
      <c r="H708" s="2">
        <f>SUMIFS($S$2:$S$10,$R$2:$R$10,E708)</f>
        <v>0</v>
      </c>
      <c r="I708" s="2">
        <f>SUMIFS($S$2:$S$10,$R$2:$R$10,F708)</f>
        <v>7</v>
      </c>
      <c r="J708" s="2">
        <f>SUM(G708:I708)</f>
        <v>41</v>
      </c>
      <c r="K708" s="2">
        <f>SUMIFS($U$2:$U$10,$R$2:$R$10,E708)</f>
        <v>0</v>
      </c>
      <c r="L708" s="2">
        <f>SUMIFS($T$2:$T$10,$R$2:$R$10,F708)</f>
        <v>0.22</v>
      </c>
      <c r="M708" s="2">
        <f>SUMIFS($V$2:$V$10,$R$2:$R$10,D708)</f>
        <v>0.09</v>
      </c>
    </row>
    <row r="709" spans="1:13" x14ac:dyDescent="0.25">
      <c r="A709" s="2">
        <f>(A$2+A$2*K709+A$2*M709)*(1+L709)</f>
        <v>538.08000000000004</v>
      </c>
      <c r="B709" s="2">
        <f>(B$2+B$2*K709+B$2*M709)*(1+L709)</f>
        <v>625.86</v>
      </c>
      <c r="C709" s="2">
        <f>(C$2+C$2*K709+C$2*M709)*(1+L709)</f>
        <v>657.78</v>
      </c>
      <c r="D709" s="2">
        <v>9</v>
      </c>
      <c r="E709" s="2">
        <v>4</v>
      </c>
      <c r="F709" s="2">
        <v>0</v>
      </c>
      <c r="G709" s="2">
        <f>SUMIFS($S$2:$S$10,$R$2:$R$10,D709)</f>
        <v>34</v>
      </c>
      <c r="H709" s="2">
        <f>SUMIFS($S$2:$S$10,$R$2:$R$10,E709)</f>
        <v>7</v>
      </c>
      <c r="I709" s="2">
        <f>SUMIFS($S$2:$S$10,$R$2:$R$10,F709)</f>
        <v>0</v>
      </c>
      <c r="J709" s="2">
        <f>SUM(G709:I709)</f>
        <v>41</v>
      </c>
      <c r="K709" s="2">
        <f>SUMIFS($U$2:$U$10,$R$2:$R$10,E709)</f>
        <v>0.05</v>
      </c>
      <c r="L709" s="2">
        <f>SUMIFS($T$2:$T$10,$R$2:$R$10,F709)</f>
        <v>0</v>
      </c>
      <c r="M709" s="2">
        <f>SUMIFS($V$2:$V$10,$R$2:$R$10,D709)</f>
        <v>0.09</v>
      </c>
    </row>
    <row r="710" spans="1:13" x14ac:dyDescent="0.25">
      <c r="A710" s="1">
        <f>(A$2+A$2*K710+A$2*L710)*(1+M710)</f>
        <v>704.83760000000007</v>
      </c>
      <c r="B710" s="1">
        <f>(B$2+B$2*K710+B$2*L710)*(1+M710)</f>
        <v>819.82170000000019</v>
      </c>
      <c r="C710" s="1">
        <f>(C$2+C$2*K710+C$2*L710)*(1+M710)</f>
        <v>861.63409999999999</v>
      </c>
      <c r="D710" s="1">
        <v>7</v>
      </c>
      <c r="E710" s="1">
        <v>2</v>
      </c>
      <c r="F710" s="1">
        <v>7</v>
      </c>
      <c r="G710" s="1">
        <f>SUMIFS($S$2:$S$10,$R$2:$R$10,D710)</f>
        <v>20</v>
      </c>
      <c r="H710" s="1">
        <f>SUMIFS($S$2:$S$10,$R$2:$R$10,E710)</f>
        <v>2</v>
      </c>
      <c r="I710" s="1">
        <f>SUMIFS($S$2:$S$10,$R$2:$R$10,F710)</f>
        <v>20</v>
      </c>
      <c r="J710" s="1">
        <f>SUM(G710:I710)</f>
        <v>42</v>
      </c>
      <c r="K710" s="1">
        <f>SUMIFS($U$2:$U$10,$R$2:$R$10,E710)</f>
        <v>0.02</v>
      </c>
      <c r="L710" s="1">
        <f>SUMIFS($V$2:$V$10,$R$2:$R$10,F710)</f>
        <v>7.0000000000000007E-2</v>
      </c>
      <c r="M710" s="1">
        <f>SUMIFS($T$2:$T$10,$R$2:$R$10,D710)</f>
        <v>0.37</v>
      </c>
    </row>
    <row r="711" spans="1:13" x14ac:dyDescent="0.25">
      <c r="A711" s="1">
        <f>(A$2+A$2*K711+A$2*L711)*(1+M711)</f>
        <v>717.77040000000011</v>
      </c>
      <c r="B711" s="1">
        <f>(B$2+B$2*K711+B$2*L711)*(1+M711)</f>
        <v>834.86430000000018</v>
      </c>
      <c r="C711" s="1">
        <f>(C$2+C$2*K711+C$2*L711)*(1+M711)</f>
        <v>877.4439000000001</v>
      </c>
      <c r="D711" s="1">
        <v>7</v>
      </c>
      <c r="E711" s="1">
        <v>4</v>
      </c>
      <c r="F711" s="1">
        <v>6</v>
      </c>
      <c r="G711" s="1">
        <f>SUMIFS($S$2:$S$10,$R$2:$R$10,D711)</f>
        <v>20</v>
      </c>
      <c r="H711" s="1">
        <f>SUMIFS($S$2:$S$10,$R$2:$R$10,E711)</f>
        <v>7</v>
      </c>
      <c r="I711" s="1">
        <f>SUMIFS($S$2:$S$10,$R$2:$R$10,F711)</f>
        <v>15</v>
      </c>
      <c r="J711" s="1">
        <f>SUM(G711:I711)</f>
        <v>42</v>
      </c>
      <c r="K711" s="1">
        <f>SUMIFS($U$2:$U$10,$R$2:$R$10,E711)</f>
        <v>0.05</v>
      </c>
      <c r="L711" s="1">
        <f>SUMIFS($V$2:$V$10,$R$2:$R$10,F711)</f>
        <v>0.06</v>
      </c>
      <c r="M711" s="1">
        <f>SUMIFS($T$2:$T$10,$R$2:$R$10,D711)</f>
        <v>0.37</v>
      </c>
    </row>
    <row r="712" spans="1:13" x14ac:dyDescent="0.25">
      <c r="A712" s="1">
        <f>(A$2+A$2*K712+A$2*L712)*(1+M712)</f>
        <v>730.70320000000004</v>
      </c>
      <c r="B712" s="1">
        <f>(B$2+B$2*K712+B$2*L712)*(1+M712)</f>
        <v>849.90690000000006</v>
      </c>
      <c r="C712" s="1">
        <f>(C$2+C$2*K712+C$2*L712)*(1+M712)</f>
        <v>893.25370000000009</v>
      </c>
      <c r="D712" s="1">
        <v>7</v>
      </c>
      <c r="E712" s="1">
        <v>6</v>
      </c>
      <c r="F712" s="1">
        <v>4</v>
      </c>
      <c r="G712" s="1">
        <f>SUMIFS($S$2:$S$10,$R$2:$R$10,D712)</f>
        <v>20</v>
      </c>
      <c r="H712" s="1">
        <f>SUMIFS($S$2:$S$10,$R$2:$R$10,E712)</f>
        <v>15</v>
      </c>
      <c r="I712" s="1">
        <f>SUMIFS($S$2:$S$10,$R$2:$R$10,F712)</f>
        <v>7</v>
      </c>
      <c r="J712" s="1">
        <f>SUM(G712:I712)</f>
        <v>42</v>
      </c>
      <c r="K712" s="1">
        <f>SUMIFS($U$2:$U$10,$R$2:$R$10,E712)</f>
        <v>0.09</v>
      </c>
      <c r="L712" s="1">
        <f>SUMIFS($V$2:$V$10,$R$2:$R$10,F712)</f>
        <v>0.04</v>
      </c>
      <c r="M712" s="1">
        <f>SUMIFS($T$2:$T$10,$R$2:$R$10,D712)</f>
        <v>0.37</v>
      </c>
    </row>
    <row r="713" spans="1:13" x14ac:dyDescent="0.25">
      <c r="A713" s="1">
        <f>(A$2+A$2*K713+A$2*L713)*(1+M713)</f>
        <v>730.70320000000004</v>
      </c>
      <c r="B713" s="1">
        <f>(B$2+B$2*K713+B$2*L713)*(1+M713)</f>
        <v>849.90690000000006</v>
      </c>
      <c r="C713" s="1">
        <f>(C$2+C$2*K713+C$2*L713)*(1+M713)</f>
        <v>893.25370000000009</v>
      </c>
      <c r="D713" s="1">
        <v>7</v>
      </c>
      <c r="E713" s="1">
        <v>7</v>
      </c>
      <c r="F713" s="1">
        <v>2</v>
      </c>
      <c r="G713" s="1">
        <f>SUMIFS($S$2:$S$10,$R$2:$R$10,D713)</f>
        <v>20</v>
      </c>
      <c r="H713" s="1">
        <f>SUMIFS($S$2:$S$10,$R$2:$R$10,E713)</f>
        <v>20</v>
      </c>
      <c r="I713" s="1">
        <f>SUMIFS($S$2:$S$10,$R$2:$R$10,F713)</f>
        <v>2</v>
      </c>
      <c r="J713" s="1">
        <f>SUM(G713:I713)</f>
        <v>42</v>
      </c>
      <c r="K713" s="1">
        <f>SUMIFS($U$2:$U$10,$R$2:$R$10,E713)</f>
        <v>0.11</v>
      </c>
      <c r="L713" s="1">
        <f>SUMIFS($V$2:$V$10,$R$2:$R$10,F713)</f>
        <v>0.02</v>
      </c>
      <c r="M713" s="1">
        <f>SUMIFS($T$2:$T$10,$R$2:$R$10,D713)</f>
        <v>0.37</v>
      </c>
    </row>
    <row r="714" spans="1:13" x14ac:dyDescent="0.25">
      <c r="A714" s="1">
        <f>(A$2+A$2*K714+A$2*L714)*(1+M714)</f>
        <v>715.45759999999996</v>
      </c>
      <c r="B714" s="1">
        <f>(B$2+B$2*K714+B$2*L714)*(1+M714)</f>
        <v>832.17420000000004</v>
      </c>
      <c r="C714" s="1">
        <f>(C$2+C$2*K714+C$2*L714)*(1+M714)</f>
        <v>874.61659999999995</v>
      </c>
      <c r="D714" s="1">
        <v>8</v>
      </c>
      <c r="E714" s="1">
        <v>0</v>
      </c>
      <c r="F714" s="1">
        <v>6</v>
      </c>
      <c r="G714" s="1">
        <f>SUMIFS($S$2:$S$10,$R$2:$R$10,D714)</f>
        <v>27</v>
      </c>
      <c r="H714" s="1">
        <f>SUMIFS($S$2:$S$10,$R$2:$R$10,E714)</f>
        <v>0</v>
      </c>
      <c r="I714" s="1">
        <f>SUMIFS($S$2:$S$10,$R$2:$R$10,F714)</f>
        <v>15</v>
      </c>
      <c r="J714" s="1">
        <f>SUM(G714:I714)</f>
        <v>42</v>
      </c>
      <c r="K714" s="1">
        <f>SUMIFS($U$2:$U$10,$R$2:$R$10,E714)</f>
        <v>0</v>
      </c>
      <c r="L714" s="1">
        <f>SUMIFS($V$2:$V$10,$R$2:$R$10,F714)</f>
        <v>0.06</v>
      </c>
      <c r="M714" s="1">
        <f>SUMIFS($T$2:$T$10,$R$2:$R$10,D714)</f>
        <v>0.43</v>
      </c>
    </row>
    <row r="715" spans="1:13" x14ac:dyDescent="0.25">
      <c r="A715" s="1">
        <f>(A$2+A$2*K715+A$2*L715)*(1+M715)</f>
        <v>735.70640000000003</v>
      </c>
      <c r="B715" s="1">
        <f>(B$2+B$2*K715+B$2*L715)*(1+M715)</f>
        <v>855.72629999999992</v>
      </c>
      <c r="C715" s="1">
        <f>(C$2+C$2*K715+C$2*L715)*(1+M715)</f>
        <v>899.36989999999992</v>
      </c>
      <c r="D715" s="1">
        <v>8</v>
      </c>
      <c r="E715" s="1">
        <v>6</v>
      </c>
      <c r="F715" s="1">
        <v>0</v>
      </c>
      <c r="G715" s="1">
        <f>SUMIFS($S$2:$S$10,$R$2:$R$10,D715)</f>
        <v>27</v>
      </c>
      <c r="H715" s="1">
        <f>SUMIFS($S$2:$S$10,$R$2:$R$10,E715)</f>
        <v>15</v>
      </c>
      <c r="I715" s="1">
        <f>SUMIFS($S$2:$S$10,$R$2:$R$10,F715)</f>
        <v>0</v>
      </c>
      <c r="J715" s="1">
        <f>SUM(G715:I715)</f>
        <v>42</v>
      </c>
      <c r="K715" s="1">
        <f>SUMIFS($U$2:$U$10,$R$2:$R$10,E715)</f>
        <v>0.09</v>
      </c>
      <c r="L715" s="1">
        <f>SUMIFS($V$2:$V$10,$R$2:$R$10,F715)</f>
        <v>0</v>
      </c>
      <c r="M715" s="1">
        <f>SUMIFS($T$2:$T$10,$R$2:$R$10,D715)</f>
        <v>0.43</v>
      </c>
    </row>
    <row r="716" spans="1:13" x14ac:dyDescent="0.25">
      <c r="A716" s="1">
        <f>(A$2+A$2*K716+A$2*L716)*(1+M716)</f>
        <v>738.44400000000007</v>
      </c>
      <c r="B716" s="1">
        <f>(B$2+B$2*K716+B$2*L716)*(1+M716)</f>
        <v>858.91050000000007</v>
      </c>
      <c r="C716" s="1">
        <f>(C$2+C$2*K716+C$2*L716)*(1+M716)</f>
        <v>902.7165</v>
      </c>
      <c r="D716" s="1">
        <v>9</v>
      </c>
      <c r="E716" s="1">
        <v>1</v>
      </c>
      <c r="F716" s="1">
        <v>4</v>
      </c>
      <c r="G716" s="1">
        <f>SUMIFS($S$2:$S$10,$R$2:$R$10,D716)</f>
        <v>34</v>
      </c>
      <c r="H716" s="1">
        <f>SUMIFS($S$2:$S$10,$R$2:$R$10,E716)</f>
        <v>1</v>
      </c>
      <c r="I716" s="1">
        <f>SUMIFS($S$2:$S$10,$R$2:$R$10,F716)</f>
        <v>7</v>
      </c>
      <c r="J716" s="1">
        <f>SUM(G716:I716)</f>
        <v>42</v>
      </c>
      <c r="K716" s="1">
        <f>SUMIFS($U$2:$U$10,$R$2:$R$10,E716)</f>
        <v>0.01</v>
      </c>
      <c r="L716" s="1">
        <f>SUMIFS($V$2:$V$10,$R$2:$R$10,F716)</f>
        <v>0.04</v>
      </c>
      <c r="M716" s="1">
        <f>SUMIFS($T$2:$T$10,$R$2:$R$10,D716)</f>
        <v>0.49</v>
      </c>
    </row>
    <row r="717" spans="1:13" x14ac:dyDescent="0.25">
      <c r="A717" s="1">
        <f>(A$2+A$2*K717+A$2*L717)*(1+M717)</f>
        <v>745.47680000000003</v>
      </c>
      <c r="B717" s="1">
        <f>(B$2+B$2*K717+B$2*L717)*(1+M717)</f>
        <v>867.09060000000011</v>
      </c>
      <c r="C717" s="1">
        <f>(C$2+C$2*K717+C$2*L717)*(1+M717)</f>
        <v>911.31379999999979</v>
      </c>
      <c r="D717" s="1">
        <v>9</v>
      </c>
      <c r="E717" s="1">
        <v>3</v>
      </c>
      <c r="F717" s="1">
        <v>3</v>
      </c>
      <c r="G717" s="1">
        <f>SUMIFS($S$2:$S$10,$R$2:$R$10,D717)</f>
        <v>34</v>
      </c>
      <c r="H717" s="1">
        <f>SUMIFS($S$2:$S$10,$R$2:$R$10,E717)</f>
        <v>4</v>
      </c>
      <c r="I717" s="1">
        <f>SUMIFS($S$2:$S$10,$R$2:$R$10,F717)</f>
        <v>4</v>
      </c>
      <c r="J717" s="1">
        <f>SUM(G717:I717)</f>
        <v>42</v>
      </c>
      <c r="K717" s="1">
        <f>SUMIFS($U$2:$U$10,$R$2:$R$10,E717)</f>
        <v>0.03</v>
      </c>
      <c r="L717" s="1">
        <f>SUMIFS($V$2:$V$10,$R$2:$R$10,F717)</f>
        <v>0.03</v>
      </c>
      <c r="M717" s="1">
        <f>SUMIFS($T$2:$T$10,$R$2:$R$10,D717)</f>
        <v>0.49</v>
      </c>
    </row>
    <row r="718" spans="1:13" x14ac:dyDescent="0.25">
      <c r="A718" s="1">
        <f>(A$2+A$2*K718+A$2*L718)*(1+M718)</f>
        <v>745.47680000000003</v>
      </c>
      <c r="B718" s="1">
        <f>(B$2+B$2*K718+B$2*L718)*(1+M718)</f>
        <v>867.09060000000011</v>
      </c>
      <c r="C718" s="1">
        <f>(C$2+C$2*K718+C$2*L718)*(1+M718)</f>
        <v>911.31380000000001</v>
      </c>
      <c r="D718" s="1">
        <v>9</v>
      </c>
      <c r="E718" s="1">
        <v>4</v>
      </c>
      <c r="F718" s="1">
        <v>1</v>
      </c>
      <c r="G718" s="1">
        <f>SUMIFS($S$2:$S$10,$R$2:$R$10,D718)</f>
        <v>34</v>
      </c>
      <c r="H718" s="1">
        <f>SUMIFS($S$2:$S$10,$R$2:$R$10,E718)</f>
        <v>7</v>
      </c>
      <c r="I718" s="1">
        <f>SUMIFS($S$2:$S$10,$R$2:$R$10,F718)</f>
        <v>1</v>
      </c>
      <c r="J718" s="1">
        <f>SUM(G718:I718)</f>
        <v>42</v>
      </c>
      <c r="K718" s="1">
        <f>SUMIFS($U$2:$U$10,$R$2:$R$10,E718)</f>
        <v>0.05</v>
      </c>
      <c r="L718" s="1">
        <f>SUMIFS($V$2:$V$10,$R$2:$R$10,F718)</f>
        <v>0.01</v>
      </c>
      <c r="M718" s="1">
        <f>SUMIFS($T$2:$T$10,$R$2:$R$10,D718)</f>
        <v>0.49</v>
      </c>
    </row>
    <row r="719" spans="1:13" x14ac:dyDescent="0.25">
      <c r="A719" s="3">
        <f>(A$2+A$2*M719+A$2*L719)*(1+K719)</f>
        <v>646.07359999999983</v>
      </c>
      <c r="B719" s="3">
        <f>(B$2+B$2*M719+B$2*L719)*(1+K719)</f>
        <v>751.47119999999984</v>
      </c>
      <c r="C719" s="3">
        <f>(C$2+C$2*M719+C$2*L719)*(1+K719)</f>
        <v>789.79759999999999</v>
      </c>
      <c r="D719" s="3">
        <v>7</v>
      </c>
      <c r="E719" s="3">
        <v>2</v>
      </c>
      <c r="F719" s="3">
        <v>7</v>
      </c>
      <c r="G719" s="3">
        <f>SUMIFS($S$2:$S$10,$R$2:$R$10,D719)</f>
        <v>20</v>
      </c>
      <c r="H719" s="3">
        <f>SUMIFS($S$2:$S$10,$R$2:$R$10,E719)</f>
        <v>2</v>
      </c>
      <c r="I719" s="3">
        <f>SUMIFS($S$2:$S$10,$R$2:$R$10,F719)</f>
        <v>20</v>
      </c>
      <c r="J719" s="3">
        <f>SUM(G719:I719)</f>
        <v>42</v>
      </c>
      <c r="K719" s="3">
        <f>SUMIFS($T$2:$T$10,$R$2:$R$10,E719)</f>
        <v>0.16</v>
      </c>
      <c r="L719" s="3">
        <f>SUMIFS($V$2:$V$10,$R$2:$R$10,F719)</f>
        <v>7.0000000000000007E-2</v>
      </c>
      <c r="M719" s="3">
        <f>SUMIFS($U$2:$U$10,$R$2:$R$10,D719)</f>
        <v>0.11</v>
      </c>
    </row>
    <row r="720" spans="1:13" x14ac:dyDescent="0.25">
      <c r="A720" s="3">
        <f>(A$2+A$2*M720+A$2*L720)*(1+K720)</f>
        <v>673.7328</v>
      </c>
      <c r="B720" s="3">
        <f>(B$2+B$2*M720+B$2*L720)*(1+K720)</f>
        <v>783.6425999999999</v>
      </c>
      <c r="C720" s="3">
        <f>(C$2+C$2*M720+C$2*L720)*(1+K720)</f>
        <v>823.60980000000006</v>
      </c>
      <c r="D720" s="3">
        <v>7</v>
      </c>
      <c r="E720" s="3">
        <v>4</v>
      </c>
      <c r="F720" s="3">
        <v>6</v>
      </c>
      <c r="G720" s="3">
        <f>SUMIFS($S$2:$S$10,$R$2:$R$10,D720)</f>
        <v>20</v>
      </c>
      <c r="H720" s="3">
        <f>SUMIFS($S$2:$S$10,$R$2:$R$10,E720)</f>
        <v>7</v>
      </c>
      <c r="I720" s="3">
        <f>SUMIFS($S$2:$S$10,$R$2:$R$10,F720)</f>
        <v>15</v>
      </c>
      <c r="J720" s="3">
        <f>SUM(G720:I720)</f>
        <v>42</v>
      </c>
      <c r="K720" s="3">
        <f>SUMIFS($T$2:$T$10,$R$2:$R$10,E720)</f>
        <v>0.22</v>
      </c>
      <c r="L720" s="3">
        <f>SUMIFS($V$2:$V$10,$R$2:$R$10,F720)</f>
        <v>0.06</v>
      </c>
      <c r="M720" s="3">
        <f>SUMIFS($U$2:$U$10,$R$2:$R$10,D720)</f>
        <v>0.11</v>
      </c>
    </row>
    <row r="721" spans="1:13" x14ac:dyDescent="0.25">
      <c r="A721" s="3">
        <f>(A$2+A$2*M721+A$2*L721)*(1+K721)</f>
        <v>716.49599999999998</v>
      </c>
      <c r="B721" s="3">
        <f>(B$2+B$2*M721+B$2*L721)*(1+K721)</f>
        <v>833.38200000000006</v>
      </c>
      <c r="C721" s="3">
        <f>(C$2+C$2*M721+C$2*L721)*(1+K721)</f>
        <v>875.88600000000008</v>
      </c>
      <c r="D721" s="3">
        <v>7</v>
      </c>
      <c r="E721" s="3">
        <v>6</v>
      </c>
      <c r="F721" s="3">
        <v>4</v>
      </c>
      <c r="G721" s="3">
        <f>SUMIFS($S$2:$S$10,$R$2:$R$10,D721)</f>
        <v>20</v>
      </c>
      <c r="H721" s="3">
        <f>SUMIFS($S$2:$S$10,$R$2:$R$10,E721)</f>
        <v>15</v>
      </c>
      <c r="I721" s="3">
        <f>SUMIFS($S$2:$S$10,$R$2:$R$10,F721)</f>
        <v>7</v>
      </c>
      <c r="J721" s="3">
        <f>SUM(G721:I721)</f>
        <v>42</v>
      </c>
      <c r="K721" s="3">
        <f>SUMIFS($T$2:$T$10,$R$2:$R$10,E721)</f>
        <v>0.32</v>
      </c>
      <c r="L721" s="3">
        <f>SUMIFS($V$2:$V$10,$R$2:$R$10,F721)</f>
        <v>0.04</v>
      </c>
      <c r="M721" s="3">
        <f>SUMIFS($U$2:$U$10,$R$2:$R$10,D721)</f>
        <v>0.11</v>
      </c>
    </row>
    <row r="722" spans="1:13" x14ac:dyDescent="0.25">
      <c r="A722" s="3">
        <f>(A$2+A$2*M722+A$2*L722)*(1+K722)</f>
        <v>730.70320000000004</v>
      </c>
      <c r="B722" s="3">
        <f>(B$2+B$2*M722+B$2*L722)*(1+K722)</f>
        <v>849.90690000000006</v>
      </c>
      <c r="C722" s="3">
        <f>(C$2+C$2*M722+C$2*L722)*(1+K722)</f>
        <v>893.25370000000009</v>
      </c>
      <c r="D722" s="3">
        <v>7</v>
      </c>
      <c r="E722" s="3">
        <v>7</v>
      </c>
      <c r="F722" s="3">
        <v>2</v>
      </c>
      <c r="G722" s="3">
        <f>SUMIFS($S$2:$S$10,$R$2:$R$10,D722)</f>
        <v>20</v>
      </c>
      <c r="H722" s="3">
        <f>SUMIFS($S$2:$S$10,$R$2:$R$10,E722)</f>
        <v>20</v>
      </c>
      <c r="I722" s="3">
        <f>SUMIFS($S$2:$S$10,$R$2:$R$10,F722)</f>
        <v>2</v>
      </c>
      <c r="J722" s="3">
        <f>SUM(G722:I722)</f>
        <v>42</v>
      </c>
      <c r="K722" s="3">
        <f>SUMIFS($T$2:$T$10,$R$2:$R$10,E722)</f>
        <v>0.37</v>
      </c>
      <c r="L722" s="3">
        <f>SUMIFS($V$2:$V$10,$R$2:$R$10,F722)</f>
        <v>0.02</v>
      </c>
      <c r="M722" s="3">
        <f>SUMIFS($U$2:$U$10,$R$2:$R$10,D722)</f>
        <v>0.11</v>
      </c>
    </row>
    <row r="723" spans="1:13" x14ac:dyDescent="0.25">
      <c r="A723" s="3">
        <f>(A$2+A$2*M723+A$2*L723)*(1+K723)</f>
        <v>561.68000000000006</v>
      </c>
      <c r="B723" s="3">
        <f>(B$2+B$2*M723+B$2*L723)*(1+K723)</f>
        <v>653.30999999999995</v>
      </c>
      <c r="C723" s="3">
        <f>(C$2+C$2*M723+C$2*L723)*(1+K723)</f>
        <v>686.63</v>
      </c>
      <c r="D723" s="3">
        <v>8</v>
      </c>
      <c r="E723" s="3">
        <v>0</v>
      </c>
      <c r="F723" s="3">
        <v>6</v>
      </c>
      <c r="G723" s="3">
        <f>SUMIFS($S$2:$S$10,$R$2:$R$10,D723)</f>
        <v>27</v>
      </c>
      <c r="H723" s="3">
        <f>SUMIFS($S$2:$S$10,$R$2:$R$10,E723)</f>
        <v>0</v>
      </c>
      <c r="I723" s="3">
        <f>SUMIFS($S$2:$S$10,$R$2:$R$10,F723)</f>
        <v>15</v>
      </c>
      <c r="J723" s="3">
        <f>SUM(G723:I723)</f>
        <v>42</v>
      </c>
      <c r="K723" s="3">
        <f>SUMIFS($T$2:$T$10,$R$2:$R$10,E723)</f>
        <v>0</v>
      </c>
      <c r="L723" s="3">
        <f>SUMIFS($V$2:$V$10,$R$2:$R$10,F723)</f>
        <v>0.06</v>
      </c>
      <c r="M723" s="3">
        <f>SUMIFS($U$2:$U$10,$R$2:$R$10,D723)</f>
        <v>0.13</v>
      </c>
    </row>
    <row r="724" spans="1:13" x14ac:dyDescent="0.25">
      <c r="A724" s="3">
        <f>(A$2+A$2*M724+A$2*L724)*(1+K724)</f>
        <v>704.03520000000003</v>
      </c>
      <c r="B724" s="3">
        <f>(B$2+B$2*M724+B$2*L724)*(1+K724)</f>
        <v>818.88840000000005</v>
      </c>
      <c r="C724" s="3">
        <f>(C$2+C$2*M724+C$2*L724)*(1+K724)</f>
        <v>860.65320000000008</v>
      </c>
      <c r="D724" s="3">
        <v>8</v>
      </c>
      <c r="E724" s="3">
        <v>6</v>
      </c>
      <c r="F724" s="3">
        <v>0</v>
      </c>
      <c r="G724" s="3">
        <f>SUMIFS($S$2:$S$10,$R$2:$R$10,D724)</f>
        <v>27</v>
      </c>
      <c r="H724" s="3">
        <f>SUMIFS($S$2:$S$10,$R$2:$R$10,E724)</f>
        <v>15</v>
      </c>
      <c r="I724" s="3">
        <f>SUMIFS($S$2:$S$10,$R$2:$R$10,F724)</f>
        <v>0</v>
      </c>
      <c r="J724" s="3">
        <f>SUM(G724:I724)</f>
        <v>42</v>
      </c>
      <c r="K724" s="3">
        <f>SUMIFS($T$2:$T$10,$R$2:$R$10,E724)</f>
        <v>0.32</v>
      </c>
      <c r="L724" s="3">
        <f>SUMIFS($V$2:$V$10,$R$2:$R$10,F724)</f>
        <v>0</v>
      </c>
      <c r="M724" s="3">
        <f>SUMIFS($U$2:$U$10,$R$2:$R$10,D724)</f>
        <v>0.13</v>
      </c>
    </row>
    <row r="725" spans="1:13" x14ac:dyDescent="0.25">
      <c r="A725" s="3">
        <f>(A$2+A$2*M725+A$2*L725)*(1+K725)</f>
        <v>634.69839999999988</v>
      </c>
      <c r="B725" s="3">
        <f>(B$2+B$2*M725+B$2*L725)*(1+K725)</f>
        <v>738.24030000000005</v>
      </c>
      <c r="C725" s="3">
        <f>(C$2+C$2*M725+C$2*L725)*(1+K725)</f>
        <v>775.89189999999996</v>
      </c>
      <c r="D725" s="3">
        <v>9</v>
      </c>
      <c r="E725" s="3">
        <v>1</v>
      </c>
      <c r="F725" s="3">
        <v>4</v>
      </c>
      <c r="G725" s="3">
        <f>SUMIFS($S$2:$S$10,$R$2:$R$10,D725)</f>
        <v>34</v>
      </c>
      <c r="H725" s="3">
        <f>SUMIFS($S$2:$S$10,$R$2:$R$10,E725)</f>
        <v>1</v>
      </c>
      <c r="I725" s="3">
        <f>SUMIFS($S$2:$S$10,$R$2:$R$10,F725)</f>
        <v>7</v>
      </c>
      <c r="J725" s="3">
        <f>SUM(G725:I725)</f>
        <v>42</v>
      </c>
      <c r="K725" s="3">
        <f>SUMIFS($T$2:$T$10,$R$2:$R$10,E725)</f>
        <v>0.13</v>
      </c>
      <c r="L725" s="3">
        <f>SUMIFS($V$2:$V$10,$R$2:$R$10,F725)</f>
        <v>0.04</v>
      </c>
      <c r="M725" s="3">
        <f>SUMIFS($U$2:$U$10,$R$2:$R$10,D725)</f>
        <v>0.15</v>
      </c>
    </row>
    <row r="726" spans="1:13" x14ac:dyDescent="0.25">
      <c r="A726" s="3">
        <f>(A$2+A$2*M726+A$2*L726)*(1+K726)</f>
        <v>662.78239999999983</v>
      </c>
      <c r="B726" s="3">
        <f>(B$2+B$2*M726+B$2*L726)*(1+K726)</f>
        <v>770.9058</v>
      </c>
      <c r="C726" s="3">
        <f>(C$2+C$2*M726+C$2*L726)*(1+K726)</f>
        <v>810.22339999999986</v>
      </c>
      <c r="D726" s="3">
        <v>9</v>
      </c>
      <c r="E726" s="3">
        <v>3</v>
      </c>
      <c r="F726" s="3">
        <v>3</v>
      </c>
      <c r="G726" s="3">
        <f>SUMIFS($S$2:$S$10,$R$2:$R$10,D726)</f>
        <v>34</v>
      </c>
      <c r="H726" s="3">
        <f>SUMIFS($S$2:$S$10,$R$2:$R$10,E726)</f>
        <v>4</v>
      </c>
      <c r="I726" s="3">
        <f>SUMIFS($S$2:$S$10,$R$2:$R$10,F726)</f>
        <v>4</v>
      </c>
      <c r="J726" s="3">
        <f>SUM(G726:I726)</f>
        <v>42</v>
      </c>
      <c r="K726" s="3">
        <f>SUMIFS($T$2:$T$10,$R$2:$R$10,E726)</f>
        <v>0.19</v>
      </c>
      <c r="L726" s="3">
        <f>SUMIFS($V$2:$V$10,$R$2:$R$10,F726)</f>
        <v>0.03</v>
      </c>
      <c r="M726" s="3">
        <f>SUMIFS($U$2:$U$10,$R$2:$R$10,D726)</f>
        <v>0.15</v>
      </c>
    </row>
    <row r="727" spans="1:13" x14ac:dyDescent="0.25">
      <c r="A727" s="3">
        <f>(A$2+A$2*M727+A$2*L727)*(1+K727)</f>
        <v>667.97439999999995</v>
      </c>
      <c r="B727" s="3">
        <f>(B$2+B$2*M727+B$2*L727)*(1+K727)</f>
        <v>776.94479999999999</v>
      </c>
      <c r="C727" s="3">
        <f>(C$2+C$2*M727+C$2*L727)*(1+K727)</f>
        <v>816.57039999999995</v>
      </c>
      <c r="D727" s="3">
        <v>9</v>
      </c>
      <c r="E727" s="3">
        <v>4</v>
      </c>
      <c r="F727" s="3">
        <v>1</v>
      </c>
      <c r="G727" s="3">
        <f>SUMIFS($S$2:$S$10,$R$2:$R$10,D727)</f>
        <v>34</v>
      </c>
      <c r="H727" s="3">
        <f>SUMIFS($S$2:$S$10,$R$2:$R$10,E727)</f>
        <v>7</v>
      </c>
      <c r="I727" s="3">
        <f>SUMIFS($S$2:$S$10,$R$2:$R$10,F727)</f>
        <v>1</v>
      </c>
      <c r="J727" s="3">
        <f>SUM(G727:I727)</f>
        <v>42</v>
      </c>
      <c r="K727" s="3">
        <f>SUMIFS($T$2:$T$10,$R$2:$R$10,E727)</f>
        <v>0.22</v>
      </c>
      <c r="L727" s="3">
        <f>SUMIFS($V$2:$V$10,$R$2:$R$10,F727)</f>
        <v>0.01</v>
      </c>
      <c r="M727" s="3">
        <f>SUMIFS($U$2:$U$10,$R$2:$R$10,D727)</f>
        <v>0.15</v>
      </c>
    </row>
    <row r="728" spans="1:13" x14ac:dyDescent="0.25">
      <c r="A728" s="2">
        <f>(A$2+A$2*K728+A$2*M728)*(1+L728)</f>
        <v>704.83760000000007</v>
      </c>
      <c r="B728" s="2">
        <f>(B$2+B$2*K728+B$2*M728)*(1+L728)</f>
        <v>819.82170000000019</v>
      </c>
      <c r="C728" s="2">
        <f>(C$2+C$2*K728+C$2*M728)*(1+L728)</f>
        <v>861.63409999999999</v>
      </c>
      <c r="D728" s="2">
        <v>7</v>
      </c>
      <c r="E728" s="2">
        <v>2</v>
      </c>
      <c r="F728" s="2">
        <v>7</v>
      </c>
      <c r="G728" s="2">
        <f>SUMIFS($S$2:$S$10,$R$2:$R$10,D728)</f>
        <v>20</v>
      </c>
      <c r="H728" s="2">
        <f>SUMIFS($S$2:$S$10,$R$2:$R$10,E728)</f>
        <v>2</v>
      </c>
      <c r="I728" s="2">
        <f>SUMIFS($S$2:$S$10,$R$2:$R$10,F728)</f>
        <v>20</v>
      </c>
      <c r="J728" s="2">
        <f>SUM(G728:I728)</f>
        <v>42</v>
      </c>
      <c r="K728" s="2">
        <f>SUMIFS($U$2:$U$10,$R$2:$R$10,E728)</f>
        <v>0.02</v>
      </c>
      <c r="L728" s="2">
        <f>SUMIFS($T$2:$T$10,$R$2:$R$10,F728)</f>
        <v>0.37</v>
      </c>
      <c r="M728" s="2">
        <f>SUMIFS($V$2:$V$10,$R$2:$R$10,D728)</f>
        <v>7.0000000000000007E-2</v>
      </c>
    </row>
    <row r="729" spans="1:13" x14ac:dyDescent="0.25">
      <c r="A729" s="2">
        <f>(A$2+A$2*K729+A$2*M729)*(1+L729)</f>
        <v>697.8048</v>
      </c>
      <c r="B729" s="2">
        <f>(B$2+B$2*K729+B$2*M729)*(1+L729)</f>
        <v>811.64160000000015</v>
      </c>
      <c r="C729" s="2">
        <f>(C$2+C$2*K729+C$2*M729)*(1+L729)</f>
        <v>853.03680000000008</v>
      </c>
      <c r="D729" s="2">
        <v>7</v>
      </c>
      <c r="E729" s="2">
        <v>4</v>
      </c>
      <c r="F729" s="2">
        <v>6</v>
      </c>
      <c r="G729" s="2">
        <f>SUMIFS($S$2:$S$10,$R$2:$R$10,D729)</f>
        <v>20</v>
      </c>
      <c r="H729" s="2">
        <f>SUMIFS($S$2:$S$10,$R$2:$R$10,E729)</f>
        <v>7</v>
      </c>
      <c r="I729" s="2">
        <f>SUMIFS($S$2:$S$10,$R$2:$R$10,F729)</f>
        <v>15</v>
      </c>
      <c r="J729" s="2">
        <f>SUM(G729:I729)</f>
        <v>42</v>
      </c>
      <c r="K729" s="2">
        <f>SUMIFS($U$2:$U$10,$R$2:$R$10,E729)</f>
        <v>0.05</v>
      </c>
      <c r="L729" s="2">
        <f>SUMIFS($T$2:$T$10,$R$2:$R$10,F729)</f>
        <v>0.32</v>
      </c>
      <c r="M729" s="2">
        <f>SUMIFS($V$2:$V$10,$R$2:$R$10,D729)</f>
        <v>7.0000000000000007E-2</v>
      </c>
    </row>
    <row r="730" spans="1:13" x14ac:dyDescent="0.25">
      <c r="A730" s="2">
        <f>(A$2+A$2*K730+A$2*M730)*(1+L730)</f>
        <v>667.97439999999995</v>
      </c>
      <c r="B730" s="2">
        <f>(B$2+B$2*K730+B$2*M730)*(1+L730)</f>
        <v>776.94479999999987</v>
      </c>
      <c r="C730" s="2">
        <f>(C$2+C$2*K730+C$2*M730)*(1+L730)</f>
        <v>816.57039999999995</v>
      </c>
      <c r="D730" s="2">
        <v>7</v>
      </c>
      <c r="E730" s="2">
        <v>6</v>
      </c>
      <c r="F730" s="2">
        <v>4</v>
      </c>
      <c r="G730" s="2">
        <f>SUMIFS($S$2:$S$10,$R$2:$R$10,D730)</f>
        <v>20</v>
      </c>
      <c r="H730" s="2">
        <f>SUMIFS($S$2:$S$10,$R$2:$R$10,E730)</f>
        <v>15</v>
      </c>
      <c r="I730" s="2">
        <f>SUMIFS($S$2:$S$10,$R$2:$R$10,F730)</f>
        <v>7</v>
      </c>
      <c r="J730" s="2">
        <f>SUM(G730:I730)</f>
        <v>42</v>
      </c>
      <c r="K730" s="2">
        <f>SUMIFS($U$2:$U$10,$R$2:$R$10,E730)</f>
        <v>0.09</v>
      </c>
      <c r="L730" s="2">
        <f>SUMIFS($T$2:$T$10,$R$2:$R$10,F730)</f>
        <v>0.22</v>
      </c>
      <c r="M730" s="2">
        <f>SUMIFS($V$2:$V$10,$R$2:$R$10,D730)</f>
        <v>7.0000000000000007E-2</v>
      </c>
    </row>
    <row r="731" spans="1:13" x14ac:dyDescent="0.25">
      <c r="A731" s="2">
        <f>(A$2+A$2*K731+A$2*M731)*(1+L731)</f>
        <v>646.07359999999983</v>
      </c>
      <c r="B731" s="2">
        <f>(B$2+B$2*K731+B$2*M731)*(1+L731)</f>
        <v>751.47119999999984</v>
      </c>
      <c r="C731" s="2">
        <f>(C$2+C$2*K731+C$2*M731)*(1+L731)</f>
        <v>789.79759999999999</v>
      </c>
      <c r="D731" s="2">
        <v>7</v>
      </c>
      <c r="E731" s="2">
        <v>7</v>
      </c>
      <c r="F731" s="2">
        <v>2</v>
      </c>
      <c r="G731" s="2">
        <f>SUMIFS($S$2:$S$10,$R$2:$R$10,D731)</f>
        <v>20</v>
      </c>
      <c r="H731" s="2">
        <f>SUMIFS($S$2:$S$10,$R$2:$R$10,E731)</f>
        <v>20</v>
      </c>
      <c r="I731" s="2">
        <f>SUMIFS($S$2:$S$10,$R$2:$R$10,F731)</f>
        <v>2</v>
      </c>
      <c r="J731" s="2">
        <f>SUM(G731:I731)</f>
        <v>42</v>
      </c>
      <c r="K731" s="2">
        <f>SUMIFS($U$2:$U$10,$R$2:$R$10,E731)</f>
        <v>0.11</v>
      </c>
      <c r="L731" s="2">
        <f>SUMIFS($T$2:$T$10,$R$2:$R$10,F731)</f>
        <v>0.16</v>
      </c>
      <c r="M731" s="2">
        <f>SUMIFS($V$2:$V$10,$R$2:$R$10,D731)</f>
        <v>7.0000000000000007E-2</v>
      </c>
    </row>
    <row r="732" spans="1:13" x14ac:dyDescent="0.25">
      <c r="A732" s="2">
        <f>(A$2+A$2*K732+A$2*M732)*(1+L732)</f>
        <v>672.88319999999999</v>
      </c>
      <c r="B732" s="2">
        <f>(B$2+B$2*K732+B$2*M732)*(1+L732)</f>
        <v>782.65440000000001</v>
      </c>
      <c r="C732" s="2">
        <f>(C$2+C$2*K732+C$2*M732)*(1+L732)</f>
        <v>822.57119999999998</v>
      </c>
      <c r="D732" s="2">
        <v>8</v>
      </c>
      <c r="E732" s="2">
        <v>0</v>
      </c>
      <c r="F732" s="2">
        <v>6</v>
      </c>
      <c r="G732" s="2">
        <f>SUMIFS($S$2:$S$10,$R$2:$R$10,D732)</f>
        <v>27</v>
      </c>
      <c r="H732" s="2">
        <f>SUMIFS($S$2:$S$10,$R$2:$R$10,E732)</f>
        <v>0</v>
      </c>
      <c r="I732" s="2">
        <f>SUMIFS($S$2:$S$10,$R$2:$R$10,F732)</f>
        <v>15</v>
      </c>
      <c r="J732" s="2">
        <f>SUM(G732:I732)</f>
        <v>42</v>
      </c>
      <c r="K732" s="2">
        <f>SUMIFS($U$2:$U$10,$R$2:$R$10,E732)</f>
        <v>0</v>
      </c>
      <c r="L732" s="2">
        <f>SUMIFS($T$2:$T$10,$R$2:$R$10,F732)</f>
        <v>0.32</v>
      </c>
      <c r="M732" s="2">
        <f>SUMIFS($V$2:$V$10,$R$2:$R$10,D732)</f>
        <v>0.08</v>
      </c>
    </row>
    <row r="733" spans="1:13" x14ac:dyDescent="0.25">
      <c r="A733" s="2">
        <f>(A$2+A$2*K733+A$2*M733)*(1+L733)</f>
        <v>552.24</v>
      </c>
      <c r="B733" s="2">
        <f>(B$2+B$2*K733+B$2*M733)*(1+L733)</f>
        <v>642.32999999999993</v>
      </c>
      <c r="C733" s="2">
        <f>(C$2+C$2*K733+C$2*M733)*(1+L733)</f>
        <v>675.08999999999992</v>
      </c>
      <c r="D733" s="2">
        <v>8</v>
      </c>
      <c r="E733" s="2">
        <v>6</v>
      </c>
      <c r="F733" s="2">
        <v>0</v>
      </c>
      <c r="G733" s="2">
        <f>SUMIFS($S$2:$S$10,$R$2:$R$10,D733)</f>
        <v>27</v>
      </c>
      <c r="H733" s="2">
        <f>SUMIFS($S$2:$S$10,$R$2:$R$10,E733)</f>
        <v>15</v>
      </c>
      <c r="I733" s="2">
        <f>SUMIFS($S$2:$S$10,$R$2:$R$10,F733)</f>
        <v>0</v>
      </c>
      <c r="J733" s="2">
        <f>SUM(G733:I733)</f>
        <v>42</v>
      </c>
      <c r="K733" s="2">
        <f>SUMIFS($U$2:$U$10,$R$2:$R$10,E733)</f>
        <v>0.09</v>
      </c>
      <c r="L733" s="2">
        <f>SUMIFS($T$2:$T$10,$R$2:$R$10,F733)</f>
        <v>0</v>
      </c>
      <c r="M733" s="2">
        <f>SUMIFS($V$2:$V$10,$R$2:$R$10,D733)</f>
        <v>0.08</v>
      </c>
    </row>
    <row r="734" spans="1:13" x14ac:dyDescent="0.25">
      <c r="A734" s="2">
        <f>(A$2+A$2*K734+A$2*M734)*(1+L734)</f>
        <v>633.42400000000009</v>
      </c>
      <c r="B734" s="2">
        <f>(B$2+B$2*K734+B$2*M734)*(1+L734)</f>
        <v>736.75799999999992</v>
      </c>
      <c r="C734" s="2">
        <f>(C$2+C$2*K734+C$2*M734)*(1+L734)</f>
        <v>774.33399999999995</v>
      </c>
      <c r="D734" s="2">
        <v>9</v>
      </c>
      <c r="E734" s="2">
        <v>1</v>
      </c>
      <c r="F734" s="2">
        <v>4</v>
      </c>
      <c r="G734" s="2">
        <f>SUMIFS($S$2:$S$10,$R$2:$R$10,D734)</f>
        <v>34</v>
      </c>
      <c r="H734" s="2">
        <f>SUMIFS($S$2:$S$10,$R$2:$R$10,E734)</f>
        <v>1</v>
      </c>
      <c r="I734" s="2">
        <f>SUMIFS($S$2:$S$10,$R$2:$R$10,F734)</f>
        <v>7</v>
      </c>
      <c r="J734" s="2">
        <f>SUM(G734:I734)</f>
        <v>42</v>
      </c>
      <c r="K734" s="2">
        <f>SUMIFS($U$2:$U$10,$R$2:$R$10,E734)</f>
        <v>0.01</v>
      </c>
      <c r="L734" s="2">
        <f>SUMIFS($T$2:$T$10,$R$2:$R$10,F734)</f>
        <v>0.22</v>
      </c>
      <c r="M734" s="2">
        <f>SUMIFS($V$2:$V$10,$R$2:$R$10,D734)</f>
        <v>0.09</v>
      </c>
    </row>
    <row r="735" spans="1:13" x14ac:dyDescent="0.25">
      <c r="A735" s="2">
        <f>(A$2+A$2*K735+A$2*M735)*(1+L735)</f>
        <v>629.08159999999998</v>
      </c>
      <c r="B735" s="2">
        <f>(B$2+B$2*K735+B$2*M735)*(1+L735)</f>
        <v>731.70719999999994</v>
      </c>
      <c r="C735" s="2">
        <f>(C$2+C$2*K735+C$2*M735)*(1+L735)</f>
        <v>769.02559999999983</v>
      </c>
      <c r="D735" s="2">
        <v>9</v>
      </c>
      <c r="E735" s="2">
        <v>3</v>
      </c>
      <c r="F735" s="2">
        <v>3</v>
      </c>
      <c r="G735" s="2">
        <f>SUMIFS($S$2:$S$10,$R$2:$R$10,D735)</f>
        <v>34</v>
      </c>
      <c r="H735" s="2">
        <f>SUMIFS($S$2:$S$10,$R$2:$R$10,E735)</f>
        <v>4</v>
      </c>
      <c r="I735" s="2">
        <f>SUMIFS($S$2:$S$10,$R$2:$R$10,F735)</f>
        <v>4</v>
      </c>
      <c r="J735" s="2">
        <f>SUM(G735:I735)</f>
        <v>42</v>
      </c>
      <c r="K735" s="2">
        <f>SUMIFS($U$2:$U$10,$R$2:$R$10,E735)</f>
        <v>0.03</v>
      </c>
      <c r="L735" s="2">
        <f>SUMIFS($T$2:$T$10,$R$2:$R$10,F735)</f>
        <v>0.19</v>
      </c>
      <c r="M735" s="2">
        <f>SUMIFS($V$2:$V$10,$R$2:$R$10,D735)</f>
        <v>0.09</v>
      </c>
    </row>
    <row r="736" spans="1:13" x14ac:dyDescent="0.25">
      <c r="A736" s="2">
        <f>(A$2+A$2*K736+A$2*M736)*(1+L736)</f>
        <v>608.03039999999999</v>
      </c>
      <c r="B736" s="2">
        <f>(B$2+B$2*K736+B$2*M736)*(1+L736)</f>
        <v>707.22179999999992</v>
      </c>
      <c r="C736" s="2">
        <f>(C$2+C$2*K736+C$2*M736)*(1+L736)</f>
        <v>743.29139999999995</v>
      </c>
      <c r="D736" s="2">
        <v>9</v>
      </c>
      <c r="E736" s="2">
        <v>4</v>
      </c>
      <c r="F736" s="2">
        <v>1</v>
      </c>
      <c r="G736" s="2">
        <f>SUMIFS($S$2:$S$10,$R$2:$R$10,D736)</f>
        <v>34</v>
      </c>
      <c r="H736" s="2">
        <f>SUMIFS($S$2:$S$10,$R$2:$R$10,E736)</f>
        <v>7</v>
      </c>
      <c r="I736" s="2">
        <f>SUMIFS($S$2:$S$10,$R$2:$R$10,F736)</f>
        <v>1</v>
      </c>
      <c r="J736" s="2">
        <f>SUM(G736:I736)</f>
        <v>42</v>
      </c>
      <c r="K736" s="2">
        <f>SUMIFS($U$2:$U$10,$R$2:$R$10,E736)</f>
        <v>0.05</v>
      </c>
      <c r="L736" s="2">
        <f>SUMIFS($T$2:$T$10,$R$2:$R$10,F736)</f>
        <v>0.13</v>
      </c>
      <c r="M736" s="2">
        <f>SUMIFS($V$2:$V$10,$R$2:$R$10,D736)</f>
        <v>0.09</v>
      </c>
    </row>
    <row r="737" spans="1:13" x14ac:dyDescent="0.25">
      <c r="A737" s="1">
        <f>(A$2+A$2*K737+A$2*L737)*(1+M737)</f>
        <v>722.20719999999994</v>
      </c>
      <c r="B737" s="1">
        <f>(B$2+B$2*K737+B$2*L737)*(1+M737)</f>
        <v>840.0249</v>
      </c>
      <c r="C737" s="1">
        <f>(C$2+C$2*K737+C$2*L737)*(1+M737)</f>
        <v>882.8676999999999</v>
      </c>
      <c r="D737" s="1">
        <v>8</v>
      </c>
      <c r="E737" s="1">
        <v>1</v>
      </c>
      <c r="F737" s="1">
        <v>6</v>
      </c>
      <c r="G737" s="1">
        <f>SUMIFS($S$2:$S$10,$R$2:$R$10,D737)</f>
        <v>27</v>
      </c>
      <c r="H737" s="1">
        <f>SUMIFS($S$2:$S$10,$R$2:$R$10,E737)</f>
        <v>1</v>
      </c>
      <c r="I737" s="1">
        <f>SUMIFS($S$2:$S$10,$R$2:$R$10,F737)</f>
        <v>15</v>
      </c>
      <c r="J737" s="1">
        <f>SUM(G737:I737)</f>
        <v>43</v>
      </c>
      <c r="K737" s="1">
        <f>SUMIFS($U$2:$U$10,$R$2:$R$10,E737)</f>
        <v>0.01</v>
      </c>
      <c r="L737" s="1">
        <f>SUMIFS($V$2:$V$10,$R$2:$R$10,F737)</f>
        <v>0.06</v>
      </c>
      <c r="M737" s="1">
        <f>SUMIFS($T$2:$T$10,$R$2:$R$10,D737)</f>
        <v>0.43</v>
      </c>
    </row>
    <row r="738" spans="1:13" x14ac:dyDescent="0.25">
      <c r="A738" s="1">
        <f>(A$2+A$2*K738+A$2*L738)*(1+M738)</f>
        <v>742.45600000000002</v>
      </c>
      <c r="B738" s="1">
        <f>(B$2+B$2*K738+B$2*L738)*(1+M738)</f>
        <v>863.57699999999988</v>
      </c>
      <c r="C738" s="1">
        <f>(C$2+C$2*K738+C$2*L738)*(1+M738)</f>
        <v>907.62099999999987</v>
      </c>
      <c r="D738" s="1">
        <v>8</v>
      </c>
      <c r="E738" s="1">
        <v>6</v>
      </c>
      <c r="F738" s="1">
        <v>1</v>
      </c>
      <c r="G738" s="1">
        <f>SUMIFS($S$2:$S$10,$R$2:$R$10,D738)</f>
        <v>27</v>
      </c>
      <c r="H738" s="1">
        <f>SUMIFS($S$2:$S$10,$R$2:$R$10,E738)</f>
        <v>15</v>
      </c>
      <c r="I738" s="1">
        <f>SUMIFS($S$2:$S$10,$R$2:$R$10,F738)</f>
        <v>1</v>
      </c>
      <c r="J738" s="1">
        <f>SUM(G738:I738)</f>
        <v>43</v>
      </c>
      <c r="K738" s="1">
        <f>SUMIFS($U$2:$U$10,$R$2:$R$10,E738)</f>
        <v>0.09</v>
      </c>
      <c r="L738" s="1">
        <f>SUMIFS($V$2:$V$10,$R$2:$R$10,F738)</f>
        <v>0.01</v>
      </c>
      <c r="M738" s="1">
        <f>SUMIFS($T$2:$T$10,$R$2:$R$10,D738)</f>
        <v>0.43</v>
      </c>
    </row>
    <row r="739" spans="1:13" x14ac:dyDescent="0.25">
      <c r="A739" s="1">
        <f>(A$2+A$2*K739+A$2*L739)*(1+M739)</f>
        <v>745.47680000000003</v>
      </c>
      <c r="B739" s="1">
        <f>(B$2+B$2*K739+B$2*L739)*(1+M739)</f>
        <v>867.09060000000011</v>
      </c>
      <c r="C739" s="1">
        <f>(C$2+C$2*K739+C$2*L739)*(1+M739)</f>
        <v>911.31380000000001</v>
      </c>
      <c r="D739" s="1">
        <v>9</v>
      </c>
      <c r="E739" s="1">
        <v>2</v>
      </c>
      <c r="F739" s="1">
        <v>4</v>
      </c>
      <c r="G739" s="1">
        <f>SUMIFS($S$2:$S$10,$R$2:$R$10,D739)</f>
        <v>34</v>
      </c>
      <c r="H739" s="1">
        <f>SUMIFS($S$2:$S$10,$R$2:$R$10,E739)</f>
        <v>2</v>
      </c>
      <c r="I739" s="1">
        <f>SUMIFS($S$2:$S$10,$R$2:$R$10,F739)</f>
        <v>7</v>
      </c>
      <c r="J739" s="1">
        <f>SUM(G739:I739)</f>
        <v>43</v>
      </c>
      <c r="K739" s="1">
        <f>SUMIFS($U$2:$U$10,$R$2:$R$10,E739)</f>
        <v>0.02</v>
      </c>
      <c r="L739" s="1">
        <f>SUMIFS($V$2:$V$10,$R$2:$R$10,F739)</f>
        <v>0.04</v>
      </c>
      <c r="M739" s="1">
        <f>SUMIFS($T$2:$T$10,$R$2:$R$10,D739)</f>
        <v>0.49</v>
      </c>
    </row>
    <row r="740" spans="1:13" x14ac:dyDescent="0.25">
      <c r="A740" s="1">
        <f>(A$2+A$2*K740+A$2*L740)*(1+M740)</f>
        <v>752.50959999999998</v>
      </c>
      <c r="B740" s="1">
        <f>(B$2+B$2*K740+B$2*L740)*(1+M740)</f>
        <v>875.27070000000003</v>
      </c>
      <c r="C740" s="1">
        <f>(C$2+C$2*K740+C$2*L740)*(1+M740)</f>
        <v>919.91109999999992</v>
      </c>
      <c r="D740" s="1">
        <v>9</v>
      </c>
      <c r="E740" s="1">
        <v>4</v>
      </c>
      <c r="F740" s="1">
        <v>2</v>
      </c>
      <c r="G740" s="1">
        <f>SUMIFS($S$2:$S$10,$R$2:$R$10,D740)</f>
        <v>34</v>
      </c>
      <c r="H740" s="1">
        <f>SUMIFS($S$2:$S$10,$R$2:$R$10,E740)</f>
        <v>7</v>
      </c>
      <c r="I740" s="1">
        <f>SUMIFS($S$2:$S$10,$R$2:$R$10,F740)</f>
        <v>2</v>
      </c>
      <c r="J740" s="1">
        <f>SUM(G740:I740)</f>
        <v>43</v>
      </c>
      <c r="K740" s="1">
        <f>SUMIFS($U$2:$U$10,$R$2:$R$10,E740)</f>
        <v>0.05</v>
      </c>
      <c r="L740" s="1">
        <f>SUMIFS($V$2:$V$10,$R$2:$R$10,F740)</f>
        <v>0.02</v>
      </c>
      <c r="M740" s="1">
        <f>SUMIFS($T$2:$T$10,$R$2:$R$10,D740)</f>
        <v>0.49</v>
      </c>
    </row>
    <row r="741" spans="1:13" x14ac:dyDescent="0.25">
      <c r="A741" s="3">
        <f>(A$2+A$2*M741+A$2*L741)*(1+K741)</f>
        <v>634.69839999999999</v>
      </c>
      <c r="B741" s="3">
        <f>(B$2+B$2*M741+B$2*L741)*(1+K741)</f>
        <v>738.24029999999982</v>
      </c>
      <c r="C741" s="3">
        <f>(C$2+C$2*M741+C$2*L741)*(1+K741)</f>
        <v>775.89189999999996</v>
      </c>
      <c r="D741" s="3">
        <v>8</v>
      </c>
      <c r="E741" s="3">
        <v>1</v>
      </c>
      <c r="F741" s="3">
        <v>6</v>
      </c>
      <c r="G741" s="3">
        <f>SUMIFS($S$2:$S$10,$R$2:$R$10,D741)</f>
        <v>27</v>
      </c>
      <c r="H741" s="3">
        <f>SUMIFS($S$2:$S$10,$R$2:$R$10,E741)</f>
        <v>1</v>
      </c>
      <c r="I741" s="3">
        <f>SUMIFS($S$2:$S$10,$R$2:$R$10,F741)</f>
        <v>15</v>
      </c>
      <c r="J741" s="3">
        <f>SUM(G741:I741)</f>
        <v>43</v>
      </c>
      <c r="K741" s="3">
        <f>SUMIFS($T$2:$T$10,$R$2:$R$10,E741)</f>
        <v>0.13</v>
      </c>
      <c r="L741" s="3">
        <f>SUMIFS($V$2:$V$10,$R$2:$R$10,F741)</f>
        <v>0.06</v>
      </c>
      <c r="M741" s="3">
        <f>SUMIFS($U$2:$U$10,$R$2:$R$10,D741)</f>
        <v>0.13</v>
      </c>
    </row>
    <row r="742" spans="1:13" x14ac:dyDescent="0.25">
      <c r="A742" s="3">
        <f>(A$2+A$2*M742+A$2*L742)*(1+K742)</f>
        <v>710.26560000000006</v>
      </c>
      <c r="B742" s="3">
        <f>(B$2+B$2*M742+B$2*L742)*(1+K742)</f>
        <v>826.13520000000005</v>
      </c>
      <c r="C742" s="3">
        <f>(C$2+C$2*M742+C$2*L742)*(1+K742)</f>
        <v>868.26959999999997</v>
      </c>
      <c r="D742" s="3">
        <v>8</v>
      </c>
      <c r="E742" s="3">
        <v>6</v>
      </c>
      <c r="F742" s="3">
        <v>1</v>
      </c>
      <c r="G742" s="3">
        <f>SUMIFS($S$2:$S$10,$R$2:$R$10,D742)</f>
        <v>27</v>
      </c>
      <c r="H742" s="3">
        <f>SUMIFS($S$2:$S$10,$R$2:$R$10,E742)</f>
        <v>15</v>
      </c>
      <c r="I742" s="3">
        <f>SUMIFS($S$2:$S$10,$R$2:$R$10,F742)</f>
        <v>1</v>
      </c>
      <c r="J742" s="3">
        <f>SUM(G742:I742)</f>
        <v>43</v>
      </c>
      <c r="K742" s="3">
        <f>SUMIFS($T$2:$T$10,$R$2:$R$10,E742)</f>
        <v>0.32</v>
      </c>
      <c r="L742" s="3">
        <f>SUMIFS($V$2:$V$10,$R$2:$R$10,F742)</f>
        <v>0.01</v>
      </c>
      <c r="M742" s="3">
        <f>SUMIFS($U$2:$U$10,$R$2:$R$10,D742)</f>
        <v>0.13</v>
      </c>
    </row>
    <row r="743" spans="1:13" x14ac:dyDescent="0.25">
      <c r="A743" s="3">
        <f>(A$2+A$2*M743+A$2*L743)*(1+K743)</f>
        <v>651.54879999999991</v>
      </c>
      <c r="B743" s="3">
        <f>(B$2+B$2*M743+B$2*L743)*(1+K743)</f>
        <v>757.83960000000002</v>
      </c>
      <c r="C743" s="3">
        <f>(C$2+C$2*M743+C$2*L743)*(1+K743)</f>
        <v>796.49079999999992</v>
      </c>
      <c r="D743" s="3">
        <v>9</v>
      </c>
      <c r="E743" s="3">
        <v>2</v>
      </c>
      <c r="F743" s="3">
        <v>4</v>
      </c>
      <c r="G743" s="3">
        <f>SUMIFS($S$2:$S$10,$R$2:$R$10,D743)</f>
        <v>34</v>
      </c>
      <c r="H743" s="3">
        <f>SUMIFS($S$2:$S$10,$R$2:$R$10,E743)</f>
        <v>2</v>
      </c>
      <c r="I743" s="3">
        <f>SUMIFS($S$2:$S$10,$R$2:$R$10,F743)</f>
        <v>7</v>
      </c>
      <c r="J743" s="3">
        <f>SUM(G743:I743)</f>
        <v>43</v>
      </c>
      <c r="K743" s="3">
        <f>SUMIFS($T$2:$T$10,$R$2:$R$10,E743)</f>
        <v>0.16</v>
      </c>
      <c r="L743" s="3">
        <f>SUMIFS($V$2:$V$10,$R$2:$R$10,F743)</f>
        <v>0.04</v>
      </c>
      <c r="M743" s="3">
        <f>SUMIFS($U$2:$U$10,$R$2:$R$10,D743)</f>
        <v>0.15</v>
      </c>
    </row>
    <row r="744" spans="1:13" x14ac:dyDescent="0.25">
      <c r="A744" s="3">
        <f>(A$2+A$2*M744+A$2*L744)*(1+K744)</f>
        <v>673.7328</v>
      </c>
      <c r="B744" s="3">
        <f>(B$2+B$2*M744+B$2*L744)*(1+K744)</f>
        <v>783.64260000000002</v>
      </c>
      <c r="C744" s="3">
        <f>(C$2+C$2*M744+C$2*L744)*(1+K744)</f>
        <v>823.60979999999984</v>
      </c>
      <c r="D744" s="3">
        <v>9</v>
      </c>
      <c r="E744" s="3">
        <v>4</v>
      </c>
      <c r="F744" s="3">
        <v>2</v>
      </c>
      <c r="G744" s="3">
        <f>SUMIFS($S$2:$S$10,$R$2:$R$10,D744)</f>
        <v>34</v>
      </c>
      <c r="H744" s="3">
        <f>SUMIFS($S$2:$S$10,$R$2:$R$10,E744)</f>
        <v>7</v>
      </c>
      <c r="I744" s="3">
        <f>SUMIFS($S$2:$S$10,$R$2:$R$10,F744)</f>
        <v>2</v>
      </c>
      <c r="J744" s="3">
        <f>SUM(G744:I744)</f>
        <v>43</v>
      </c>
      <c r="K744" s="3">
        <f>SUMIFS($T$2:$T$10,$R$2:$R$10,E744)</f>
        <v>0.22</v>
      </c>
      <c r="L744" s="3">
        <f>SUMIFS($V$2:$V$10,$R$2:$R$10,F744)</f>
        <v>0.02</v>
      </c>
      <c r="M744" s="3">
        <f>SUMIFS($U$2:$U$10,$R$2:$R$10,D744)</f>
        <v>0.15</v>
      </c>
    </row>
    <row r="745" spans="1:13" x14ac:dyDescent="0.25">
      <c r="A745" s="2">
        <f>(A$2+A$2*K745+A$2*M745)*(1+L745)</f>
        <v>679.11360000000002</v>
      </c>
      <c r="B745" s="2">
        <f>(B$2+B$2*K745+B$2*M745)*(1+L745)</f>
        <v>789.90120000000002</v>
      </c>
      <c r="C745" s="2">
        <f>(C$2+C$2*K745+C$2*M745)*(1+L745)</f>
        <v>830.18759999999997</v>
      </c>
      <c r="D745" s="2">
        <v>8</v>
      </c>
      <c r="E745" s="2">
        <v>1</v>
      </c>
      <c r="F745" s="2">
        <v>6</v>
      </c>
      <c r="G745" s="2">
        <f>SUMIFS($S$2:$S$10,$R$2:$R$10,D745)</f>
        <v>27</v>
      </c>
      <c r="H745" s="2">
        <f>SUMIFS($S$2:$S$10,$R$2:$R$10,E745)</f>
        <v>1</v>
      </c>
      <c r="I745" s="2">
        <f>SUMIFS($S$2:$S$10,$R$2:$R$10,F745)</f>
        <v>15</v>
      </c>
      <c r="J745" s="2">
        <f>SUM(G745:I745)</f>
        <v>43</v>
      </c>
      <c r="K745" s="2">
        <f>SUMIFS($U$2:$U$10,$R$2:$R$10,E745)</f>
        <v>0.01</v>
      </c>
      <c r="L745" s="2">
        <f>SUMIFS($T$2:$T$10,$R$2:$R$10,F745)</f>
        <v>0.32</v>
      </c>
      <c r="M745" s="2">
        <f>SUMIFS($V$2:$V$10,$R$2:$R$10,D745)</f>
        <v>0.08</v>
      </c>
    </row>
    <row r="746" spans="1:13" x14ac:dyDescent="0.25">
      <c r="A746" s="2">
        <f>(A$2+A$2*K746+A$2*M746)*(1+L746)</f>
        <v>624.0311999999999</v>
      </c>
      <c r="B746" s="2">
        <f>(B$2+B$2*K746+B$2*M746)*(1+L746)</f>
        <v>725.83289999999988</v>
      </c>
      <c r="C746" s="2">
        <f>(C$2+C$2*K746+C$2*M746)*(1+L746)</f>
        <v>762.85169999999982</v>
      </c>
      <c r="D746" s="2">
        <v>8</v>
      </c>
      <c r="E746" s="2">
        <v>6</v>
      </c>
      <c r="F746" s="2">
        <v>1</v>
      </c>
      <c r="G746" s="2">
        <f>SUMIFS($S$2:$S$10,$R$2:$R$10,D746)</f>
        <v>27</v>
      </c>
      <c r="H746" s="2">
        <f>SUMIFS($S$2:$S$10,$R$2:$R$10,E746)</f>
        <v>15</v>
      </c>
      <c r="I746" s="2">
        <f>SUMIFS($S$2:$S$10,$R$2:$R$10,F746)</f>
        <v>1</v>
      </c>
      <c r="J746" s="2">
        <f>SUM(G746:I746)</f>
        <v>43</v>
      </c>
      <c r="K746" s="2">
        <f>SUMIFS($U$2:$U$10,$R$2:$R$10,E746)</f>
        <v>0.09</v>
      </c>
      <c r="L746" s="2">
        <f>SUMIFS($T$2:$T$10,$R$2:$R$10,F746)</f>
        <v>0.13</v>
      </c>
      <c r="M746" s="2">
        <f>SUMIFS($V$2:$V$10,$R$2:$R$10,D746)</f>
        <v>0.08</v>
      </c>
    </row>
    <row r="747" spans="1:13" x14ac:dyDescent="0.25">
      <c r="A747" s="2">
        <f>(A$2+A$2*K747+A$2*M747)*(1+L747)</f>
        <v>639.18239999999992</v>
      </c>
      <c r="B747" s="2">
        <f>(B$2+B$2*K747+B$2*M747)*(1+L747)</f>
        <v>743.45579999999995</v>
      </c>
      <c r="C747" s="2">
        <f>(C$2+C$2*K747+C$2*M747)*(1+L747)</f>
        <v>781.37339999999983</v>
      </c>
      <c r="D747" s="2">
        <v>9</v>
      </c>
      <c r="E747" s="2">
        <v>2</v>
      </c>
      <c r="F747" s="2">
        <v>4</v>
      </c>
      <c r="G747" s="2">
        <f>SUMIFS($S$2:$S$10,$R$2:$R$10,D747)</f>
        <v>34</v>
      </c>
      <c r="H747" s="2">
        <f>SUMIFS($S$2:$S$10,$R$2:$R$10,E747)</f>
        <v>2</v>
      </c>
      <c r="I747" s="2">
        <f>SUMIFS($S$2:$S$10,$R$2:$R$10,F747)</f>
        <v>7</v>
      </c>
      <c r="J747" s="2">
        <f>SUM(G747:I747)</f>
        <v>43</v>
      </c>
      <c r="K747" s="2">
        <f>SUMIFS($U$2:$U$10,$R$2:$R$10,E747)</f>
        <v>0.02</v>
      </c>
      <c r="L747" s="2">
        <f>SUMIFS($T$2:$T$10,$R$2:$R$10,F747)</f>
        <v>0.22</v>
      </c>
      <c r="M747" s="2">
        <f>SUMIFS($V$2:$V$10,$R$2:$R$10,D747)</f>
        <v>0.09</v>
      </c>
    </row>
    <row r="748" spans="1:13" x14ac:dyDescent="0.25">
      <c r="A748" s="2">
        <f>(A$2+A$2*K748+A$2*M748)*(1+L748)</f>
        <v>624.17280000000005</v>
      </c>
      <c r="B748" s="2">
        <f>(B$2+B$2*K748+B$2*M748)*(1+L748)</f>
        <v>725.99759999999992</v>
      </c>
      <c r="C748" s="2">
        <f>(C$2+C$2*K748+C$2*M748)*(1+L748)</f>
        <v>763.02479999999991</v>
      </c>
      <c r="D748" s="2">
        <v>9</v>
      </c>
      <c r="E748" s="2">
        <v>4</v>
      </c>
      <c r="F748" s="2">
        <v>2</v>
      </c>
      <c r="G748" s="2">
        <f>SUMIFS($S$2:$S$10,$R$2:$R$10,D748)</f>
        <v>34</v>
      </c>
      <c r="H748" s="2">
        <f>SUMIFS($S$2:$S$10,$R$2:$R$10,E748)</f>
        <v>7</v>
      </c>
      <c r="I748" s="2">
        <f>SUMIFS($S$2:$S$10,$R$2:$R$10,F748)</f>
        <v>2</v>
      </c>
      <c r="J748" s="2">
        <f>SUM(G748:I748)</f>
        <v>43</v>
      </c>
      <c r="K748" s="2">
        <f>SUMIFS($U$2:$U$10,$R$2:$R$10,E748)</f>
        <v>0.05</v>
      </c>
      <c r="L748" s="2">
        <f>SUMIFS($T$2:$T$10,$R$2:$R$10,F748)</f>
        <v>0.16</v>
      </c>
      <c r="M748" s="2">
        <f>SUMIFS($V$2:$V$10,$R$2:$R$10,D748)</f>
        <v>0.09</v>
      </c>
    </row>
    <row r="749" spans="1:13" x14ac:dyDescent="0.25">
      <c r="A749" s="1">
        <f>(A$2+A$2*K749+A$2*L749)*(1+M749)</f>
        <v>711.30400000000009</v>
      </c>
      <c r="B749" s="1">
        <f>(B$2+B$2*K749+B$2*L749)*(1+M749)</f>
        <v>827.34300000000019</v>
      </c>
      <c r="C749" s="1">
        <f>(C$2+C$2*K749+C$2*L749)*(1+M749)</f>
        <v>869.53899999999999</v>
      </c>
      <c r="D749" s="1">
        <v>7</v>
      </c>
      <c r="E749" s="1">
        <v>3</v>
      </c>
      <c r="F749" s="1">
        <v>7</v>
      </c>
      <c r="G749" s="1">
        <f>SUMIFS($S$2:$S$10,$R$2:$R$10,D749)</f>
        <v>20</v>
      </c>
      <c r="H749" s="1">
        <f>SUMIFS($S$2:$S$10,$R$2:$R$10,E749)</f>
        <v>4</v>
      </c>
      <c r="I749" s="1">
        <f>SUMIFS($S$2:$S$10,$R$2:$R$10,F749)</f>
        <v>20</v>
      </c>
      <c r="J749" s="1">
        <f>SUM(G749:I749)</f>
        <v>44</v>
      </c>
      <c r="K749" s="1">
        <f>SUMIFS($U$2:$U$10,$R$2:$R$10,E749)</f>
        <v>0.03</v>
      </c>
      <c r="L749" s="1">
        <f>SUMIFS($V$2:$V$10,$R$2:$R$10,F749)</f>
        <v>7.0000000000000007E-2</v>
      </c>
      <c r="M749" s="1">
        <f>SUMIFS($T$2:$T$10,$R$2:$R$10,D749)</f>
        <v>0.37</v>
      </c>
    </row>
    <row r="750" spans="1:13" x14ac:dyDescent="0.25">
      <c r="A750" s="1">
        <f>(A$2+A$2*K750+A$2*L750)*(1+M750)</f>
        <v>737.16959999999995</v>
      </c>
      <c r="B750" s="1">
        <f>(B$2+B$2*K750+B$2*L750)*(1+M750)</f>
        <v>857.42820000000006</v>
      </c>
      <c r="C750" s="1">
        <f>(C$2+C$2*K750+C$2*L750)*(1+M750)</f>
        <v>901.15859999999998</v>
      </c>
      <c r="D750" s="1">
        <v>7</v>
      </c>
      <c r="E750" s="1">
        <v>7</v>
      </c>
      <c r="F750" s="1">
        <v>3</v>
      </c>
      <c r="G750" s="1">
        <f>SUMIFS($S$2:$S$10,$R$2:$R$10,D750)</f>
        <v>20</v>
      </c>
      <c r="H750" s="1">
        <f>SUMIFS($S$2:$S$10,$R$2:$R$10,E750)</f>
        <v>20</v>
      </c>
      <c r="I750" s="1">
        <f>SUMIFS($S$2:$S$10,$R$2:$R$10,F750)</f>
        <v>4</v>
      </c>
      <c r="J750" s="1">
        <f>SUM(G750:I750)</f>
        <v>44</v>
      </c>
      <c r="K750" s="1">
        <f>SUMIFS($U$2:$U$10,$R$2:$R$10,E750)</f>
        <v>0.11</v>
      </c>
      <c r="L750" s="1">
        <f>SUMIFS($V$2:$V$10,$R$2:$R$10,F750)</f>
        <v>0.03</v>
      </c>
      <c r="M750" s="1">
        <f>SUMIFS($T$2:$T$10,$R$2:$R$10,D750)</f>
        <v>0.37</v>
      </c>
    </row>
    <row r="751" spans="1:13" x14ac:dyDescent="0.25">
      <c r="A751" s="1">
        <f>(A$2+A$2*K751+A$2*L751)*(1+M751)</f>
        <v>728.95679999999993</v>
      </c>
      <c r="B751" s="1">
        <f>(B$2+B$2*K751+B$2*L751)*(1+M751)</f>
        <v>847.87560000000008</v>
      </c>
      <c r="C751" s="1">
        <f>(C$2+C$2*K751+C$2*L751)*(1+M751)</f>
        <v>891.11879999999996</v>
      </c>
      <c r="D751" s="1">
        <v>8</v>
      </c>
      <c r="E751" s="1">
        <v>2</v>
      </c>
      <c r="F751" s="1">
        <v>6</v>
      </c>
      <c r="G751" s="1">
        <f>SUMIFS($S$2:$S$10,$R$2:$R$10,D751)</f>
        <v>27</v>
      </c>
      <c r="H751" s="1">
        <f>SUMIFS($S$2:$S$10,$R$2:$R$10,E751)</f>
        <v>2</v>
      </c>
      <c r="I751" s="1">
        <f>SUMIFS($S$2:$S$10,$R$2:$R$10,F751)</f>
        <v>15</v>
      </c>
      <c r="J751" s="1">
        <f>SUM(G751:I751)</f>
        <v>44</v>
      </c>
      <c r="K751" s="1">
        <f>SUMIFS($U$2:$U$10,$R$2:$R$10,E751)</f>
        <v>0.02</v>
      </c>
      <c r="L751" s="1">
        <f>SUMIFS($V$2:$V$10,$R$2:$R$10,F751)</f>
        <v>0.06</v>
      </c>
      <c r="M751" s="1">
        <f>SUMIFS($T$2:$T$10,$R$2:$R$10,D751)</f>
        <v>0.43</v>
      </c>
    </row>
    <row r="752" spans="1:13" x14ac:dyDescent="0.25">
      <c r="A752" s="1">
        <f>(A$2+A$2*K752+A$2*L752)*(1+M752)</f>
        <v>742.45600000000002</v>
      </c>
      <c r="B752" s="1">
        <f>(B$2+B$2*K752+B$2*L752)*(1+M752)</f>
        <v>863.57700000000011</v>
      </c>
      <c r="C752" s="1">
        <f>(C$2+C$2*K752+C$2*L752)*(1+M752)</f>
        <v>907.62099999999998</v>
      </c>
      <c r="D752" s="1">
        <v>8</v>
      </c>
      <c r="E752" s="1">
        <v>4</v>
      </c>
      <c r="F752" s="1">
        <v>5</v>
      </c>
      <c r="G752" s="1">
        <f>SUMIFS($S$2:$S$10,$R$2:$R$10,D752)</f>
        <v>27</v>
      </c>
      <c r="H752" s="1">
        <f>SUMIFS($S$2:$S$10,$R$2:$R$10,E752)</f>
        <v>7</v>
      </c>
      <c r="I752" s="1">
        <f>SUMIFS($S$2:$S$10,$R$2:$R$10,F752)</f>
        <v>10</v>
      </c>
      <c r="J752" s="1">
        <f>SUM(G752:I752)</f>
        <v>44</v>
      </c>
      <c r="K752" s="1">
        <f>SUMIFS($U$2:$U$10,$R$2:$R$10,E752)</f>
        <v>0.05</v>
      </c>
      <c r="L752" s="1">
        <f>SUMIFS($V$2:$V$10,$R$2:$R$10,F752)</f>
        <v>0.05</v>
      </c>
      <c r="M752" s="1">
        <f>SUMIFS($T$2:$T$10,$R$2:$R$10,D752)</f>
        <v>0.43</v>
      </c>
    </row>
    <row r="753" spans="1:13" x14ac:dyDescent="0.25">
      <c r="A753" s="1">
        <f>(A$2+A$2*K753+A$2*L753)*(1+M753)</f>
        <v>749.20560000000012</v>
      </c>
      <c r="B753" s="1">
        <f>(B$2+B$2*K753+B$2*L753)*(1+M753)</f>
        <v>871.42770000000007</v>
      </c>
      <c r="C753" s="1">
        <f>(C$2+C$2*K753+C$2*L753)*(1+M753)</f>
        <v>915.87210000000005</v>
      </c>
      <c r="D753" s="1">
        <v>8</v>
      </c>
      <c r="E753" s="1">
        <v>5</v>
      </c>
      <c r="F753" s="1">
        <v>4</v>
      </c>
      <c r="G753" s="1">
        <f>SUMIFS($S$2:$S$10,$R$2:$R$10,D753)</f>
        <v>27</v>
      </c>
      <c r="H753" s="1">
        <f>SUMIFS($S$2:$S$10,$R$2:$R$10,E753)</f>
        <v>10</v>
      </c>
      <c r="I753" s="1">
        <f>SUMIFS($S$2:$S$10,$R$2:$R$10,F753)</f>
        <v>7</v>
      </c>
      <c r="J753" s="1">
        <f>SUM(G753:I753)</f>
        <v>44</v>
      </c>
      <c r="K753" s="1">
        <f>SUMIFS($U$2:$U$10,$R$2:$R$10,E753)</f>
        <v>7.0000000000000007E-2</v>
      </c>
      <c r="L753" s="1">
        <f>SUMIFS($V$2:$V$10,$R$2:$R$10,F753)</f>
        <v>0.04</v>
      </c>
      <c r="M753" s="1">
        <f>SUMIFS($T$2:$T$10,$R$2:$R$10,D753)</f>
        <v>0.43</v>
      </c>
    </row>
    <row r="754" spans="1:13" x14ac:dyDescent="0.25">
      <c r="A754" s="1">
        <f>(A$2+A$2*K754+A$2*L754)*(1+M754)</f>
        <v>749.20560000000012</v>
      </c>
      <c r="B754" s="1">
        <f>(B$2+B$2*K754+B$2*L754)*(1+M754)</f>
        <v>871.42769999999996</v>
      </c>
      <c r="C754" s="1">
        <f>(C$2+C$2*K754+C$2*L754)*(1+M754)</f>
        <v>915.87209999999982</v>
      </c>
      <c r="D754" s="1">
        <v>8</v>
      </c>
      <c r="E754" s="1">
        <v>6</v>
      </c>
      <c r="F754" s="1">
        <v>2</v>
      </c>
      <c r="G754" s="1">
        <f>SUMIFS($S$2:$S$10,$R$2:$R$10,D754)</f>
        <v>27</v>
      </c>
      <c r="H754" s="1">
        <f>SUMIFS($S$2:$S$10,$R$2:$R$10,E754)</f>
        <v>15</v>
      </c>
      <c r="I754" s="1">
        <f>SUMIFS($S$2:$S$10,$R$2:$R$10,F754)</f>
        <v>2</v>
      </c>
      <c r="J754" s="1">
        <f>SUM(G754:I754)</f>
        <v>44</v>
      </c>
      <c r="K754" s="1">
        <f>SUMIFS($U$2:$U$10,$R$2:$R$10,E754)</f>
        <v>0.09</v>
      </c>
      <c r="L754" s="1">
        <f>SUMIFS($V$2:$V$10,$R$2:$R$10,F754)</f>
        <v>0.02</v>
      </c>
      <c r="M754" s="1">
        <f>SUMIFS($T$2:$T$10,$R$2:$R$10,D754)</f>
        <v>0.43</v>
      </c>
    </row>
    <row r="755" spans="1:13" x14ac:dyDescent="0.25">
      <c r="A755" s="1">
        <f>(A$2+A$2*K755+A$2*L755)*(1+M755)</f>
        <v>738.44400000000007</v>
      </c>
      <c r="B755" s="1">
        <f>(B$2+B$2*K755+B$2*L755)*(1+M755)</f>
        <v>858.91050000000007</v>
      </c>
      <c r="C755" s="1">
        <f>(C$2+C$2*K755+C$2*L755)*(1+M755)</f>
        <v>902.7165</v>
      </c>
      <c r="D755" s="1">
        <v>9</v>
      </c>
      <c r="E755" s="1">
        <v>0</v>
      </c>
      <c r="F755" s="1">
        <v>5</v>
      </c>
      <c r="G755" s="1">
        <f>SUMIFS($S$2:$S$10,$R$2:$R$10,D755)</f>
        <v>34</v>
      </c>
      <c r="H755" s="1">
        <f>SUMIFS($S$2:$S$10,$R$2:$R$10,E755)</f>
        <v>0</v>
      </c>
      <c r="I755" s="1">
        <f>SUMIFS($S$2:$S$10,$R$2:$R$10,F755)</f>
        <v>10</v>
      </c>
      <c r="J755" s="1">
        <f>SUM(G755:I755)</f>
        <v>44</v>
      </c>
      <c r="K755" s="1">
        <f>SUMIFS($U$2:$U$10,$R$2:$R$10,E755)</f>
        <v>0</v>
      </c>
      <c r="L755" s="1">
        <f>SUMIFS($V$2:$V$10,$R$2:$R$10,F755)</f>
        <v>0.05</v>
      </c>
      <c r="M755" s="1">
        <f>SUMIFS($T$2:$T$10,$R$2:$R$10,D755)</f>
        <v>0.49</v>
      </c>
    </row>
    <row r="756" spans="1:13" x14ac:dyDescent="0.25">
      <c r="A756" s="1">
        <f>(A$2+A$2*K756+A$2*L756)*(1+M756)</f>
        <v>752.50959999999998</v>
      </c>
      <c r="B756" s="1">
        <f>(B$2+B$2*K756+B$2*L756)*(1+M756)</f>
        <v>875.27070000000003</v>
      </c>
      <c r="C756" s="1">
        <f>(C$2+C$2*K756+C$2*L756)*(1+M756)</f>
        <v>919.91109999999992</v>
      </c>
      <c r="D756" s="1">
        <v>9</v>
      </c>
      <c r="E756" s="1">
        <v>5</v>
      </c>
      <c r="F756" s="1">
        <v>0</v>
      </c>
      <c r="G756" s="1">
        <f>SUMIFS($S$2:$S$10,$R$2:$R$10,D756)</f>
        <v>34</v>
      </c>
      <c r="H756" s="1">
        <f>SUMIFS($S$2:$S$10,$R$2:$R$10,E756)</f>
        <v>10</v>
      </c>
      <c r="I756" s="1">
        <f>SUMIFS($S$2:$S$10,$R$2:$R$10,F756)</f>
        <v>0</v>
      </c>
      <c r="J756" s="1">
        <f>SUM(G756:I756)</f>
        <v>44</v>
      </c>
      <c r="K756" s="1">
        <f>SUMIFS($U$2:$U$10,$R$2:$R$10,E756)</f>
        <v>7.0000000000000007E-2</v>
      </c>
      <c r="L756" s="1">
        <f>SUMIFS($V$2:$V$10,$R$2:$R$10,F756)</f>
        <v>0</v>
      </c>
      <c r="M756" s="1">
        <f>SUMIFS($T$2:$T$10,$R$2:$R$10,D756)</f>
        <v>0.49</v>
      </c>
    </row>
    <row r="757" spans="1:13" x14ac:dyDescent="0.25">
      <c r="A757" s="3">
        <f>(A$2+A$2*M757+A$2*L757)*(1+K757)</f>
        <v>662.78239999999983</v>
      </c>
      <c r="B757" s="3">
        <f>(B$2+B$2*M757+B$2*L757)*(1+K757)</f>
        <v>770.90579999999989</v>
      </c>
      <c r="C757" s="3">
        <f>(C$2+C$2*M757+C$2*L757)*(1+K757)</f>
        <v>810.22339999999997</v>
      </c>
      <c r="D757" s="3">
        <v>7</v>
      </c>
      <c r="E757" s="3">
        <v>3</v>
      </c>
      <c r="F757" s="3">
        <v>7</v>
      </c>
      <c r="G757" s="3">
        <f>SUMIFS($S$2:$S$10,$R$2:$R$10,D757)</f>
        <v>20</v>
      </c>
      <c r="H757" s="3">
        <f>SUMIFS($S$2:$S$10,$R$2:$R$10,E757)</f>
        <v>4</v>
      </c>
      <c r="I757" s="3">
        <f>SUMIFS($S$2:$S$10,$R$2:$R$10,F757)</f>
        <v>20</v>
      </c>
      <c r="J757" s="3">
        <f>SUM(G757:I757)</f>
        <v>44</v>
      </c>
      <c r="K757" s="3">
        <f>SUMIFS($T$2:$T$10,$R$2:$R$10,E757)</f>
        <v>0.19</v>
      </c>
      <c r="L757" s="3">
        <f>SUMIFS($V$2:$V$10,$R$2:$R$10,F757)</f>
        <v>7.0000000000000007E-2</v>
      </c>
      <c r="M757" s="3">
        <f>SUMIFS($U$2:$U$10,$R$2:$R$10,D757)</f>
        <v>0.11</v>
      </c>
    </row>
    <row r="758" spans="1:13" x14ac:dyDescent="0.25">
      <c r="A758" s="3">
        <f>(A$2+A$2*M758+A$2*L758)*(1+K758)</f>
        <v>737.16959999999995</v>
      </c>
      <c r="B758" s="3">
        <f>(B$2+B$2*M758+B$2*L758)*(1+K758)</f>
        <v>857.42820000000006</v>
      </c>
      <c r="C758" s="3">
        <f>(C$2+C$2*M758+C$2*L758)*(1+K758)</f>
        <v>901.15859999999998</v>
      </c>
      <c r="D758" s="3">
        <v>7</v>
      </c>
      <c r="E758" s="3">
        <v>7</v>
      </c>
      <c r="F758" s="3">
        <v>3</v>
      </c>
      <c r="G758" s="3">
        <f>SUMIFS($S$2:$S$10,$R$2:$R$10,D758)</f>
        <v>20</v>
      </c>
      <c r="H758" s="3">
        <f>SUMIFS($S$2:$S$10,$R$2:$R$10,E758)</f>
        <v>20</v>
      </c>
      <c r="I758" s="3">
        <f>SUMIFS($S$2:$S$10,$R$2:$R$10,F758)</f>
        <v>4</v>
      </c>
      <c r="J758" s="3">
        <f>SUM(G758:I758)</f>
        <v>44</v>
      </c>
      <c r="K758" s="3">
        <f>SUMIFS($T$2:$T$10,$R$2:$R$10,E758)</f>
        <v>0.37</v>
      </c>
      <c r="L758" s="3">
        <f>SUMIFS($V$2:$V$10,$R$2:$R$10,F758)</f>
        <v>0.03</v>
      </c>
      <c r="M758" s="3">
        <f>SUMIFS($U$2:$U$10,$R$2:$R$10,D758)</f>
        <v>0.11</v>
      </c>
    </row>
    <row r="759" spans="1:13" x14ac:dyDescent="0.25">
      <c r="A759" s="3">
        <f>(A$2+A$2*M759+A$2*L759)*(1+K759)</f>
        <v>651.54880000000003</v>
      </c>
      <c r="B759" s="3">
        <f>(B$2+B$2*M759+B$2*L759)*(1+K759)</f>
        <v>757.8395999999999</v>
      </c>
      <c r="C759" s="3">
        <f>(C$2+C$2*M759+C$2*L759)*(1+K759)</f>
        <v>796.49079999999992</v>
      </c>
      <c r="D759" s="3">
        <v>8</v>
      </c>
      <c r="E759" s="3">
        <v>2</v>
      </c>
      <c r="F759" s="3">
        <v>6</v>
      </c>
      <c r="G759" s="3">
        <f>SUMIFS($S$2:$S$10,$R$2:$R$10,D759)</f>
        <v>27</v>
      </c>
      <c r="H759" s="3">
        <f>SUMIFS($S$2:$S$10,$R$2:$R$10,E759)</f>
        <v>2</v>
      </c>
      <c r="I759" s="3">
        <f>SUMIFS($S$2:$S$10,$R$2:$R$10,F759)</f>
        <v>15</v>
      </c>
      <c r="J759" s="3">
        <f>SUM(G759:I759)</f>
        <v>44</v>
      </c>
      <c r="K759" s="3">
        <f>SUMIFS($T$2:$T$10,$R$2:$R$10,E759)</f>
        <v>0.16</v>
      </c>
      <c r="L759" s="3">
        <f>SUMIFS($V$2:$V$10,$R$2:$R$10,F759)</f>
        <v>0.06</v>
      </c>
      <c r="M759" s="3">
        <f>SUMIFS($U$2:$U$10,$R$2:$R$10,D759)</f>
        <v>0.13</v>
      </c>
    </row>
    <row r="760" spans="1:13" x14ac:dyDescent="0.25">
      <c r="A760" s="3">
        <f>(A$2+A$2*M760+A$2*L760)*(1+K760)</f>
        <v>679.49120000000005</v>
      </c>
      <c r="B760" s="3">
        <f>(B$2+B$2*M760+B$2*L760)*(1+K760)</f>
        <v>790.34040000000005</v>
      </c>
      <c r="C760" s="3">
        <f>(C$2+C$2*M760+C$2*L760)*(1+K760)</f>
        <v>830.64919999999995</v>
      </c>
      <c r="D760" s="3">
        <v>8</v>
      </c>
      <c r="E760" s="3">
        <v>4</v>
      </c>
      <c r="F760" s="3">
        <v>5</v>
      </c>
      <c r="G760" s="3">
        <f>SUMIFS($S$2:$S$10,$R$2:$R$10,D760)</f>
        <v>27</v>
      </c>
      <c r="H760" s="3">
        <f>SUMIFS($S$2:$S$10,$R$2:$R$10,E760)</f>
        <v>7</v>
      </c>
      <c r="I760" s="3">
        <f>SUMIFS($S$2:$S$10,$R$2:$R$10,F760)</f>
        <v>10</v>
      </c>
      <c r="J760" s="3">
        <f>SUM(G760:I760)</f>
        <v>44</v>
      </c>
      <c r="K760" s="3">
        <f>SUMIFS($T$2:$T$10,$R$2:$R$10,E760)</f>
        <v>0.22</v>
      </c>
      <c r="L760" s="3">
        <f>SUMIFS($V$2:$V$10,$R$2:$R$10,F760)</f>
        <v>0.05</v>
      </c>
      <c r="M760" s="3">
        <f>SUMIFS($U$2:$U$10,$R$2:$R$10,D760)</f>
        <v>0.13</v>
      </c>
    </row>
    <row r="761" spans="1:13" x14ac:dyDescent="0.25">
      <c r="A761" s="3">
        <f>(A$2+A$2*M761+A$2*L761)*(1+K761)</f>
        <v>701.34480000000008</v>
      </c>
      <c r="B761" s="3">
        <f>(B$2+B$2*M761+B$2*L761)*(1+K761)</f>
        <v>815.7591000000001</v>
      </c>
      <c r="C761" s="3">
        <f>(C$2+C$2*M761+C$2*L761)*(1+K761)</f>
        <v>857.36430000000007</v>
      </c>
      <c r="D761" s="3">
        <v>8</v>
      </c>
      <c r="E761" s="3">
        <v>5</v>
      </c>
      <c r="F761" s="3">
        <v>4</v>
      </c>
      <c r="G761" s="3">
        <f>SUMIFS($S$2:$S$10,$R$2:$R$10,D761)</f>
        <v>27</v>
      </c>
      <c r="H761" s="3">
        <f>SUMIFS($S$2:$S$10,$R$2:$R$10,E761)</f>
        <v>10</v>
      </c>
      <c r="I761" s="3">
        <f>SUMIFS($S$2:$S$10,$R$2:$R$10,F761)</f>
        <v>7</v>
      </c>
      <c r="J761" s="3">
        <f>SUM(G761:I761)</f>
        <v>44</v>
      </c>
      <c r="K761" s="3">
        <f>SUMIFS($T$2:$T$10,$R$2:$R$10,E761)</f>
        <v>0.27</v>
      </c>
      <c r="L761" s="3">
        <f>SUMIFS($V$2:$V$10,$R$2:$R$10,F761)</f>
        <v>0.04</v>
      </c>
      <c r="M761" s="3">
        <f>SUMIFS($U$2:$U$10,$R$2:$R$10,D761)</f>
        <v>0.13</v>
      </c>
    </row>
    <row r="762" spans="1:13" x14ac:dyDescent="0.25">
      <c r="A762" s="3">
        <f>(A$2+A$2*M762+A$2*L762)*(1+K762)</f>
        <v>716.49600000000009</v>
      </c>
      <c r="B762" s="3">
        <f>(B$2+B$2*M762+B$2*L762)*(1+K762)</f>
        <v>833.38200000000006</v>
      </c>
      <c r="C762" s="3">
        <f>(C$2+C$2*M762+C$2*L762)*(1+K762)</f>
        <v>875.88599999999997</v>
      </c>
      <c r="D762" s="3">
        <v>8</v>
      </c>
      <c r="E762" s="3">
        <v>6</v>
      </c>
      <c r="F762" s="3">
        <v>2</v>
      </c>
      <c r="G762" s="3">
        <f>SUMIFS($S$2:$S$10,$R$2:$R$10,D762)</f>
        <v>27</v>
      </c>
      <c r="H762" s="3">
        <f>SUMIFS($S$2:$S$10,$R$2:$R$10,E762)</f>
        <v>15</v>
      </c>
      <c r="I762" s="3">
        <f>SUMIFS($S$2:$S$10,$R$2:$R$10,F762)</f>
        <v>2</v>
      </c>
      <c r="J762" s="3">
        <f>SUM(G762:I762)</f>
        <v>44</v>
      </c>
      <c r="K762" s="3">
        <f>SUMIFS($T$2:$T$10,$R$2:$R$10,E762)</f>
        <v>0.32</v>
      </c>
      <c r="L762" s="3">
        <f>SUMIFS($V$2:$V$10,$R$2:$R$10,F762)</f>
        <v>0.02</v>
      </c>
      <c r="M762" s="3">
        <f>SUMIFS($U$2:$U$10,$R$2:$R$10,D762)</f>
        <v>0.13</v>
      </c>
    </row>
    <row r="763" spans="1:13" x14ac:dyDescent="0.25">
      <c r="A763" s="3">
        <f>(A$2+A$2*M763+A$2*L763)*(1+K763)</f>
        <v>566.4</v>
      </c>
      <c r="B763" s="3">
        <f>(B$2+B$2*M763+B$2*L763)*(1+K763)</f>
        <v>658.80000000000007</v>
      </c>
      <c r="C763" s="3">
        <f>(C$2+C$2*M763+C$2*L763)*(1+K763)</f>
        <v>692.4</v>
      </c>
      <c r="D763" s="3">
        <v>9</v>
      </c>
      <c r="E763" s="3">
        <v>0</v>
      </c>
      <c r="F763" s="3">
        <v>5</v>
      </c>
      <c r="G763" s="3">
        <f>SUMIFS($S$2:$S$10,$R$2:$R$10,D763)</f>
        <v>34</v>
      </c>
      <c r="H763" s="3">
        <f>SUMIFS($S$2:$S$10,$R$2:$R$10,E763)</f>
        <v>0</v>
      </c>
      <c r="I763" s="3">
        <f>SUMIFS($S$2:$S$10,$R$2:$R$10,F763)</f>
        <v>10</v>
      </c>
      <c r="J763" s="3">
        <f>SUM(G763:I763)</f>
        <v>44</v>
      </c>
      <c r="K763" s="3">
        <f>SUMIFS($T$2:$T$10,$R$2:$R$10,E763)</f>
        <v>0</v>
      </c>
      <c r="L763" s="3">
        <f>SUMIFS($V$2:$V$10,$R$2:$R$10,F763)</f>
        <v>0.05</v>
      </c>
      <c r="M763" s="3">
        <f>SUMIFS($U$2:$U$10,$R$2:$R$10,D763)</f>
        <v>0.15</v>
      </c>
    </row>
    <row r="764" spans="1:13" x14ac:dyDescent="0.25">
      <c r="A764" s="3">
        <f>(A$2+A$2*M764+A$2*L764)*(1+K764)</f>
        <v>689.35599999999999</v>
      </c>
      <c r="B764" s="3">
        <f>(B$2+B$2*M764+B$2*L764)*(1+K764)</f>
        <v>801.81450000000007</v>
      </c>
      <c r="C764" s="3">
        <f>(C$2+C$2*M764+C$2*L764)*(1+K764)</f>
        <v>842.70849999999996</v>
      </c>
      <c r="D764" s="3">
        <v>9</v>
      </c>
      <c r="E764" s="3">
        <v>5</v>
      </c>
      <c r="F764" s="3">
        <v>0</v>
      </c>
      <c r="G764" s="3">
        <f>SUMIFS($S$2:$S$10,$R$2:$R$10,D764)</f>
        <v>34</v>
      </c>
      <c r="H764" s="3">
        <f>SUMIFS($S$2:$S$10,$R$2:$R$10,E764)</f>
        <v>10</v>
      </c>
      <c r="I764" s="3">
        <f>SUMIFS($S$2:$S$10,$R$2:$R$10,F764)</f>
        <v>0</v>
      </c>
      <c r="J764" s="3">
        <f>SUM(G764:I764)</f>
        <v>44</v>
      </c>
      <c r="K764" s="3">
        <f>SUMIFS($T$2:$T$10,$R$2:$R$10,E764)</f>
        <v>0.27</v>
      </c>
      <c r="L764" s="3">
        <f>SUMIFS($V$2:$V$10,$R$2:$R$10,F764)</f>
        <v>0</v>
      </c>
      <c r="M764" s="3">
        <f>SUMIFS($U$2:$U$10,$R$2:$R$10,D764)</f>
        <v>0.15</v>
      </c>
    </row>
    <row r="765" spans="1:13" x14ac:dyDescent="0.25">
      <c r="A765" s="2">
        <f>(A$2+A$2*K765+A$2*M765)*(1+L765)</f>
        <v>711.30400000000009</v>
      </c>
      <c r="B765" s="2">
        <f>(B$2+B$2*K765+B$2*M765)*(1+L765)</f>
        <v>827.34300000000019</v>
      </c>
      <c r="C765" s="2">
        <f>(C$2+C$2*K765+C$2*M765)*(1+L765)</f>
        <v>869.53899999999999</v>
      </c>
      <c r="D765" s="2">
        <v>7</v>
      </c>
      <c r="E765" s="2">
        <v>3</v>
      </c>
      <c r="F765" s="2">
        <v>7</v>
      </c>
      <c r="G765" s="2">
        <f>SUMIFS($S$2:$S$10,$R$2:$R$10,D765)</f>
        <v>20</v>
      </c>
      <c r="H765" s="2">
        <f>SUMIFS($S$2:$S$10,$R$2:$R$10,E765)</f>
        <v>4</v>
      </c>
      <c r="I765" s="2">
        <f>SUMIFS($S$2:$S$10,$R$2:$R$10,F765)</f>
        <v>20</v>
      </c>
      <c r="J765" s="2">
        <f>SUM(G765:I765)</f>
        <v>44</v>
      </c>
      <c r="K765" s="2">
        <f>SUMIFS($U$2:$U$10,$R$2:$R$10,E765)</f>
        <v>0.03</v>
      </c>
      <c r="L765" s="2">
        <f>SUMIFS($T$2:$T$10,$R$2:$R$10,F765)</f>
        <v>0.37</v>
      </c>
      <c r="M765" s="2">
        <f>SUMIFS($V$2:$V$10,$R$2:$R$10,D765)</f>
        <v>7.0000000000000007E-2</v>
      </c>
    </row>
    <row r="766" spans="1:13" x14ac:dyDescent="0.25">
      <c r="A766" s="2">
        <f>(A$2+A$2*K766+A$2*M766)*(1+L766)</f>
        <v>662.78239999999983</v>
      </c>
      <c r="B766" s="2">
        <f>(B$2+B$2*K766+B$2*M766)*(1+L766)</f>
        <v>770.90579999999989</v>
      </c>
      <c r="C766" s="2">
        <f>(C$2+C$2*K766+C$2*M766)*(1+L766)</f>
        <v>810.22339999999997</v>
      </c>
      <c r="D766" s="2">
        <v>7</v>
      </c>
      <c r="E766" s="2">
        <v>7</v>
      </c>
      <c r="F766" s="2">
        <v>3</v>
      </c>
      <c r="G766" s="2">
        <f>SUMIFS($S$2:$S$10,$R$2:$R$10,D766)</f>
        <v>20</v>
      </c>
      <c r="H766" s="2">
        <f>SUMIFS($S$2:$S$10,$R$2:$R$10,E766)</f>
        <v>20</v>
      </c>
      <c r="I766" s="2">
        <f>SUMIFS($S$2:$S$10,$R$2:$R$10,F766)</f>
        <v>4</v>
      </c>
      <c r="J766" s="2">
        <f>SUM(G766:I766)</f>
        <v>44</v>
      </c>
      <c r="K766" s="2">
        <f>SUMIFS($U$2:$U$10,$R$2:$R$10,E766)</f>
        <v>0.11</v>
      </c>
      <c r="L766" s="2">
        <f>SUMIFS($T$2:$T$10,$R$2:$R$10,F766)</f>
        <v>0.19</v>
      </c>
      <c r="M766" s="2">
        <f>SUMIFS($V$2:$V$10,$R$2:$R$10,D766)</f>
        <v>7.0000000000000007E-2</v>
      </c>
    </row>
    <row r="767" spans="1:13" x14ac:dyDescent="0.25">
      <c r="A767" s="2">
        <f>(A$2+A$2*K767+A$2*M767)*(1+L767)</f>
        <v>685.34400000000005</v>
      </c>
      <c r="B767" s="2">
        <f>(B$2+B$2*K767+B$2*M767)*(1+L767)</f>
        <v>797.14800000000002</v>
      </c>
      <c r="C767" s="2">
        <f>(C$2+C$2*K767+C$2*M767)*(1+L767)</f>
        <v>837.80399999999997</v>
      </c>
      <c r="D767" s="2">
        <v>8</v>
      </c>
      <c r="E767" s="2">
        <v>2</v>
      </c>
      <c r="F767" s="2">
        <v>6</v>
      </c>
      <c r="G767" s="2">
        <f>SUMIFS($S$2:$S$10,$R$2:$R$10,D767)</f>
        <v>27</v>
      </c>
      <c r="H767" s="2">
        <f>SUMIFS($S$2:$S$10,$R$2:$R$10,E767)</f>
        <v>2</v>
      </c>
      <c r="I767" s="2">
        <f>SUMIFS($S$2:$S$10,$R$2:$R$10,F767)</f>
        <v>15</v>
      </c>
      <c r="J767" s="2">
        <f>SUM(G767:I767)</f>
        <v>44</v>
      </c>
      <c r="K767" s="2">
        <f>SUMIFS($U$2:$U$10,$R$2:$R$10,E767)</f>
        <v>0.02</v>
      </c>
      <c r="L767" s="2">
        <f>SUMIFS($T$2:$T$10,$R$2:$R$10,F767)</f>
        <v>0.32</v>
      </c>
      <c r="M767" s="2">
        <f>SUMIFS($V$2:$V$10,$R$2:$R$10,D767)</f>
        <v>0.08</v>
      </c>
    </row>
    <row r="768" spans="1:13" x14ac:dyDescent="0.25">
      <c r="A768" s="2">
        <f>(A$2+A$2*K768+A$2*M768)*(1+L768)</f>
        <v>677.36720000000003</v>
      </c>
      <c r="B768" s="2">
        <f>(B$2+B$2*K768+B$2*M768)*(1+L768)</f>
        <v>787.86990000000003</v>
      </c>
      <c r="C768" s="2">
        <f>(C$2+C$2*K768+C$2*M768)*(1+L768)</f>
        <v>828.05269999999996</v>
      </c>
      <c r="D768" s="2">
        <v>8</v>
      </c>
      <c r="E768" s="2">
        <v>4</v>
      </c>
      <c r="F768" s="2">
        <v>5</v>
      </c>
      <c r="G768" s="2">
        <f>SUMIFS($S$2:$S$10,$R$2:$R$10,D768)</f>
        <v>27</v>
      </c>
      <c r="H768" s="2">
        <f>SUMIFS($S$2:$S$10,$R$2:$R$10,E768)</f>
        <v>7</v>
      </c>
      <c r="I768" s="2">
        <f>SUMIFS($S$2:$S$10,$R$2:$R$10,F768)</f>
        <v>10</v>
      </c>
      <c r="J768" s="2">
        <f>SUM(G768:I768)</f>
        <v>44</v>
      </c>
      <c r="K768" s="2">
        <f>SUMIFS($U$2:$U$10,$R$2:$R$10,E768)</f>
        <v>0.05</v>
      </c>
      <c r="L768" s="2">
        <f>SUMIFS($T$2:$T$10,$R$2:$R$10,F768)</f>
        <v>0.27</v>
      </c>
      <c r="M768" s="2">
        <f>SUMIFS($V$2:$V$10,$R$2:$R$10,D768)</f>
        <v>0.08</v>
      </c>
    </row>
    <row r="769" spans="1:13" x14ac:dyDescent="0.25">
      <c r="A769" s="2">
        <f>(A$2+A$2*K769+A$2*M769)*(1+L769)</f>
        <v>662.21600000000012</v>
      </c>
      <c r="B769" s="2">
        <f>(B$2+B$2*K769+B$2*M769)*(1+L769)</f>
        <v>770.24699999999996</v>
      </c>
      <c r="C769" s="2">
        <f>(C$2+C$2*K769+C$2*M769)*(1+L769)</f>
        <v>809.53099999999995</v>
      </c>
      <c r="D769" s="2">
        <v>8</v>
      </c>
      <c r="E769" s="2">
        <v>5</v>
      </c>
      <c r="F769" s="2">
        <v>4</v>
      </c>
      <c r="G769" s="2">
        <f>SUMIFS($S$2:$S$10,$R$2:$R$10,D769)</f>
        <v>27</v>
      </c>
      <c r="H769" s="2">
        <f>SUMIFS($S$2:$S$10,$R$2:$R$10,E769)</f>
        <v>10</v>
      </c>
      <c r="I769" s="2">
        <f>SUMIFS($S$2:$S$10,$R$2:$R$10,F769)</f>
        <v>7</v>
      </c>
      <c r="J769" s="2">
        <f>SUM(G769:I769)</f>
        <v>44</v>
      </c>
      <c r="K769" s="2">
        <f>SUMIFS($U$2:$U$10,$R$2:$R$10,E769)</f>
        <v>7.0000000000000007E-2</v>
      </c>
      <c r="L769" s="2">
        <f>SUMIFS($T$2:$T$10,$R$2:$R$10,F769)</f>
        <v>0.22</v>
      </c>
      <c r="M769" s="2">
        <f>SUMIFS($V$2:$V$10,$R$2:$R$10,D769)</f>
        <v>0.08</v>
      </c>
    </row>
    <row r="770" spans="1:13" x14ac:dyDescent="0.25">
      <c r="A770" s="2">
        <f>(A$2+A$2*K770+A$2*M770)*(1+L770)</f>
        <v>640.59839999999997</v>
      </c>
      <c r="B770" s="2">
        <f>(B$2+B$2*K770+B$2*M770)*(1+L770)</f>
        <v>745.10279999999989</v>
      </c>
      <c r="C770" s="2">
        <f>(C$2+C$2*K770+C$2*M770)*(1+L770)</f>
        <v>783.10439999999983</v>
      </c>
      <c r="D770" s="2">
        <v>8</v>
      </c>
      <c r="E770" s="2">
        <v>6</v>
      </c>
      <c r="F770" s="2">
        <v>2</v>
      </c>
      <c r="G770" s="2">
        <f>SUMIFS($S$2:$S$10,$R$2:$R$10,D770)</f>
        <v>27</v>
      </c>
      <c r="H770" s="2">
        <f>SUMIFS($S$2:$S$10,$R$2:$R$10,E770)</f>
        <v>15</v>
      </c>
      <c r="I770" s="2">
        <f>SUMIFS($S$2:$S$10,$R$2:$R$10,F770)</f>
        <v>2</v>
      </c>
      <c r="J770" s="2">
        <f>SUM(G770:I770)</f>
        <v>44</v>
      </c>
      <c r="K770" s="2">
        <f>SUMIFS($U$2:$U$10,$R$2:$R$10,E770)</f>
        <v>0.09</v>
      </c>
      <c r="L770" s="2">
        <f>SUMIFS($T$2:$T$10,$R$2:$R$10,F770)</f>
        <v>0.16</v>
      </c>
      <c r="M770" s="2">
        <f>SUMIFS($V$2:$V$10,$R$2:$R$10,D770)</f>
        <v>0.08</v>
      </c>
    </row>
    <row r="771" spans="1:13" x14ac:dyDescent="0.25">
      <c r="A771" s="2">
        <f>(A$2+A$2*K771+A$2*M771)*(1+L771)</f>
        <v>653.38960000000009</v>
      </c>
      <c r="B771" s="2">
        <f>(B$2+B$2*K771+B$2*M771)*(1+L771)</f>
        <v>759.98069999999996</v>
      </c>
      <c r="C771" s="2">
        <f>(C$2+C$2*K771+C$2*M771)*(1+L771)</f>
        <v>798.74109999999996</v>
      </c>
      <c r="D771" s="2">
        <v>9</v>
      </c>
      <c r="E771" s="2">
        <v>0</v>
      </c>
      <c r="F771" s="2">
        <v>5</v>
      </c>
      <c r="G771" s="2">
        <f>SUMIFS($S$2:$S$10,$R$2:$R$10,D771)</f>
        <v>34</v>
      </c>
      <c r="H771" s="2">
        <f>SUMIFS($S$2:$S$10,$R$2:$R$10,E771)</f>
        <v>0</v>
      </c>
      <c r="I771" s="2">
        <f>SUMIFS($S$2:$S$10,$R$2:$R$10,F771)</f>
        <v>10</v>
      </c>
      <c r="J771" s="2">
        <f>SUM(G771:I771)</f>
        <v>44</v>
      </c>
      <c r="K771" s="2">
        <f>SUMIFS($U$2:$U$10,$R$2:$R$10,E771)</f>
        <v>0</v>
      </c>
      <c r="L771" s="2">
        <f>SUMIFS($T$2:$T$10,$R$2:$R$10,F771)</f>
        <v>0.27</v>
      </c>
      <c r="M771" s="2">
        <f>SUMIFS($V$2:$V$10,$R$2:$R$10,D771)</f>
        <v>0.09</v>
      </c>
    </row>
    <row r="772" spans="1:13" x14ac:dyDescent="0.25">
      <c r="A772" s="2">
        <f>(A$2+A$2*K772+A$2*M772)*(1+L772)</f>
        <v>547.52</v>
      </c>
      <c r="B772" s="2">
        <f>(B$2+B$2*K772+B$2*M772)*(1+L772)</f>
        <v>636.84</v>
      </c>
      <c r="C772" s="2">
        <f>(C$2+C$2*K772+C$2*M772)*(1+L772)</f>
        <v>669.31999999999994</v>
      </c>
      <c r="D772" s="2">
        <v>9</v>
      </c>
      <c r="E772" s="2">
        <v>5</v>
      </c>
      <c r="F772" s="2">
        <v>0</v>
      </c>
      <c r="G772" s="2">
        <f>SUMIFS($S$2:$S$10,$R$2:$R$10,D772)</f>
        <v>34</v>
      </c>
      <c r="H772" s="2">
        <f>SUMIFS($S$2:$S$10,$R$2:$R$10,E772)</f>
        <v>10</v>
      </c>
      <c r="I772" s="2">
        <f>SUMIFS($S$2:$S$10,$R$2:$R$10,F772)</f>
        <v>0</v>
      </c>
      <c r="J772" s="2">
        <f>SUM(G772:I772)</f>
        <v>44</v>
      </c>
      <c r="K772" s="2">
        <f>SUMIFS($U$2:$U$10,$R$2:$R$10,E772)</f>
        <v>7.0000000000000007E-2</v>
      </c>
      <c r="L772" s="2">
        <f>SUMIFS($T$2:$T$10,$R$2:$R$10,F772)</f>
        <v>0</v>
      </c>
      <c r="M772" s="2">
        <f>SUMIFS($V$2:$V$10,$R$2:$R$10,D772)</f>
        <v>0.09</v>
      </c>
    </row>
    <row r="773" spans="1:13" x14ac:dyDescent="0.25">
      <c r="A773" s="1">
        <f>(A$2+A$2*K773+A$2*L773)*(1+M773)</f>
        <v>716.49600000000009</v>
      </c>
      <c r="B773" s="1">
        <f>(B$2+B$2*K773+B$2*L773)*(1+M773)</f>
        <v>833.38199999999995</v>
      </c>
      <c r="C773" s="1">
        <f>(C$2+C$2*K773+C$2*L773)*(1+M773)</f>
        <v>875.88599999999997</v>
      </c>
      <c r="D773" s="1">
        <v>6</v>
      </c>
      <c r="E773" s="1">
        <v>6</v>
      </c>
      <c r="F773" s="1">
        <v>6</v>
      </c>
      <c r="G773" s="1">
        <f>SUMIFS($S$2:$S$10,$R$2:$R$10,D773)</f>
        <v>15</v>
      </c>
      <c r="H773" s="1">
        <f>SUMIFS($S$2:$S$10,$R$2:$R$10,E773)</f>
        <v>15</v>
      </c>
      <c r="I773" s="1">
        <f>SUMIFS($S$2:$S$10,$R$2:$R$10,F773)</f>
        <v>15</v>
      </c>
      <c r="J773" s="1">
        <f>SUM(G773:I773)</f>
        <v>45</v>
      </c>
      <c r="K773" s="1">
        <f>SUMIFS($U$2:$U$10,$R$2:$R$10,E773)</f>
        <v>0.09</v>
      </c>
      <c r="L773" s="1">
        <f>SUMIFS($V$2:$V$10,$R$2:$R$10,F773)</f>
        <v>0.06</v>
      </c>
      <c r="M773" s="1">
        <f>SUMIFS($T$2:$T$10,$R$2:$R$10,D773)</f>
        <v>0.32</v>
      </c>
    </row>
    <row r="774" spans="1:13" x14ac:dyDescent="0.25">
      <c r="A774" s="1">
        <f>(A$2+A$2*K774+A$2*L774)*(1+M774)</f>
        <v>730.70320000000004</v>
      </c>
      <c r="B774" s="1">
        <f>(B$2+B$2*K774+B$2*L774)*(1+M774)</f>
        <v>849.90690000000018</v>
      </c>
      <c r="C774" s="1">
        <f>(C$2+C$2*K774+C$2*L774)*(1+M774)</f>
        <v>893.25370000000009</v>
      </c>
      <c r="D774" s="1">
        <v>7</v>
      </c>
      <c r="E774" s="1">
        <v>5</v>
      </c>
      <c r="F774" s="1">
        <v>6</v>
      </c>
      <c r="G774" s="1">
        <f>SUMIFS($S$2:$S$10,$R$2:$R$10,D774)</f>
        <v>20</v>
      </c>
      <c r="H774" s="1">
        <f>SUMIFS($S$2:$S$10,$R$2:$R$10,E774)</f>
        <v>10</v>
      </c>
      <c r="I774" s="1">
        <f>SUMIFS($S$2:$S$10,$R$2:$R$10,F774)</f>
        <v>15</v>
      </c>
      <c r="J774" s="1">
        <f>SUM(G774:I774)</f>
        <v>45</v>
      </c>
      <c r="K774" s="1">
        <f>SUMIFS($U$2:$U$10,$R$2:$R$10,E774)</f>
        <v>7.0000000000000007E-2</v>
      </c>
      <c r="L774" s="1">
        <f>SUMIFS($V$2:$V$10,$R$2:$R$10,F774)</f>
        <v>0.06</v>
      </c>
      <c r="M774" s="1">
        <f>SUMIFS($T$2:$T$10,$R$2:$R$10,D774)</f>
        <v>0.37</v>
      </c>
    </row>
    <row r="775" spans="1:13" x14ac:dyDescent="0.25">
      <c r="A775" s="1">
        <f>(A$2+A$2*K775+A$2*L775)*(1+M775)</f>
        <v>737.16960000000006</v>
      </c>
      <c r="B775" s="1">
        <f>(B$2+B$2*K775+B$2*L775)*(1+M775)</f>
        <v>857.42820000000006</v>
      </c>
      <c r="C775" s="1">
        <f>(C$2+C$2*K775+C$2*L775)*(1+M775)</f>
        <v>901.15859999999998</v>
      </c>
      <c r="D775" s="1">
        <v>7</v>
      </c>
      <c r="E775" s="1">
        <v>6</v>
      </c>
      <c r="F775" s="1">
        <v>5</v>
      </c>
      <c r="G775" s="1">
        <f>SUMIFS($S$2:$S$10,$R$2:$R$10,D775)</f>
        <v>20</v>
      </c>
      <c r="H775" s="1">
        <f>SUMIFS($S$2:$S$10,$R$2:$R$10,E775)</f>
        <v>15</v>
      </c>
      <c r="I775" s="1">
        <f>SUMIFS($S$2:$S$10,$R$2:$R$10,F775)</f>
        <v>10</v>
      </c>
      <c r="J775" s="1">
        <f>SUM(G775:I775)</f>
        <v>45</v>
      </c>
      <c r="K775" s="1">
        <f>SUMIFS($U$2:$U$10,$R$2:$R$10,E775)</f>
        <v>0.09</v>
      </c>
      <c r="L775" s="1">
        <f>SUMIFS($V$2:$V$10,$R$2:$R$10,F775)</f>
        <v>0.05</v>
      </c>
      <c r="M775" s="1">
        <f>SUMIFS($T$2:$T$10,$R$2:$R$10,D775)</f>
        <v>0.37</v>
      </c>
    </row>
    <row r="776" spans="1:13" x14ac:dyDescent="0.25">
      <c r="A776" s="1">
        <f>(A$2+A$2*K776+A$2*L776)*(1+M776)</f>
        <v>745.47680000000003</v>
      </c>
      <c r="B776" s="1">
        <f>(B$2+B$2*K776+B$2*L776)*(1+M776)</f>
        <v>867.09060000000011</v>
      </c>
      <c r="C776" s="1">
        <f>(C$2+C$2*K776+C$2*L776)*(1+M776)</f>
        <v>911.31380000000001</v>
      </c>
      <c r="D776" s="1">
        <v>9</v>
      </c>
      <c r="E776" s="1">
        <v>1</v>
      </c>
      <c r="F776" s="1">
        <v>5</v>
      </c>
      <c r="G776" s="1">
        <f>SUMIFS($S$2:$S$10,$R$2:$R$10,D776)</f>
        <v>34</v>
      </c>
      <c r="H776" s="1">
        <f>SUMIFS($S$2:$S$10,$R$2:$R$10,E776)</f>
        <v>1</v>
      </c>
      <c r="I776" s="1">
        <f>SUMIFS($S$2:$S$10,$R$2:$R$10,F776)</f>
        <v>10</v>
      </c>
      <c r="J776" s="1">
        <f>SUM(G776:I776)</f>
        <v>45</v>
      </c>
      <c r="K776" s="1">
        <f>SUMIFS($U$2:$U$10,$R$2:$R$10,E776)</f>
        <v>0.01</v>
      </c>
      <c r="L776" s="1">
        <f>SUMIFS($V$2:$V$10,$R$2:$R$10,F776)</f>
        <v>0.05</v>
      </c>
      <c r="M776" s="1">
        <f>SUMIFS($T$2:$T$10,$R$2:$R$10,D776)</f>
        <v>0.49</v>
      </c>
    </row>
    <row r="777" spans="1:13" x14ac:dyDescent="0.25">
      <c r="A777" s="1">
        <f>(A$2+A$2*K777+A$2*L777)*(1+M777)</f>
        <v>752.50959999999998</v>
      </c>
      <c r="B777" s="1">
        <f>(B$2+B$2*K777+B$2*L777)*(1+M777)</f>
        <v>875.27070000000003</v>
      </c>
      <c r="C777" s="1">
        <f>(C$2+C$2*K777+C$2*L777)*(1+M777)</f>
        <v>919.91109999999992</v>
      </c>
      <c r="D777" s="1">
        <v>9</v>
      </c>
      <c r="E777" s="1">
        <v>3</v>
      </c>
      <c r="F777" s="1">
        <v>4</v>
      </c>
      <c r="G777" s="1">
        <f>SUMIFS($S$2:$S$10,$R$2:$R$10,D777)</f>
        <v>34</v>
      </c>
      <c r="H777" s="1">
        <f>SUMIFS($S$2:$S$10,$R$2:$R$10,E777)</f>
        <v>4</v>
      </c>
      <c r="I777" s="1">
        <f>SUMIFS($S$2:$S$10,$R$2:$R$10,F777)</f>
        <v>7</v>
      </c>
      <c r="J777" s="1">
        <f>SUM(G777:I777)</f>
        <v>45</v>
      </c>
      <c r="K777" s="1">
        <f>SUMIFS($U$2:$U$10,$R$2:$R$10,E777)</f>
        <v>0.03</v>
      </c>
      <c r="L777" s="1">
        <f>SUMIFS($V$2:$V$10,$R$2:$R$10,F777)</f>
        <v>0.04</v>
      </c>
      <c r="M777" s="1">
        <f>SUMIFS($T$2:$T$10,$R$2:$R$10,D777)</f>
        <v>0.49</v>
      </c>
    </row>
    <row r="778" spans="1:13" x14ac:dyDescent="0.25">
      <c r="A778" s="1">
        <f>(A$2+A$2*K778+A$2*L778)*(1+M778)</f>
        <v>759.54240000000004</v>
      </c>
      <c r="B778" s="1">
        <f>(B$2+B$2*K778+B$2*L778)*(1+M778)</f>
        <v>883.45080000000007</v>
      </c>
      <c r="C778" s="1">
        <f>(C$2+C$2*K778+C$2*L778)*(1+M778)</f>
        <v>928.50839999999994</v>
      </c>
      <c r="D778" s="1">
        <v>9</v>
      </c>
      <c r="E778" s="1">
        <v>4</v>
      </c>
      <c r="F778" s="1">
        <v>3</v>
      </c>
      <c r="G778" s="1">
        <f>SUMIFS($S$2:$S$10,$R$2:$R$10,D778)</f>
        <v>34</v>
      </c>
      <c r="H778" s="1">
        <f>SUMIFS($S$2:$S$10,$R$2:$R$10,E778)</f>
        <v>7</v>
      </c>
      <c r="I778" s="1">
        <f>SUMIFS($S$2:$S$10,$R$2:$R$10,F778)</f>
        <v>4</v>
      </c>
      <c r="J778" s="1">
        <f>SUM(G778:I778)</f>
        <v>45</v>
      </c>
      <c r="K778" s="1">
        <f>SUMIFS($U$2:$U$10,$R$2:$R$10,E778)</f>
        <v>0.05</v>
      </c>
      <c r="L778" s="1">
        <f>SUMIFS($V$2:$V$10,$R$2:$R$10,F778)</f>
        <v>0.03</v>
      </c>
      <c r="M778" s="1">
        <f>SUMIFS($T$2:$T$10,$R$2:$R$10,D778)</f>
        <v>0.49</v>
      </c>
    </row>
    <row r="779" spans="1:13" x14ac:dyDescent="0.25">
      <c r="A779" s="1">
        <f>(A$2+A$2*K779+A$2*L779)*(1+M779)</f>
        <v>759.54240000000004</v>
      </c>
      <c r="B779" s="1">
        <f>(B$2+B$2*K779+B$2*L779)*(1+M779)</f>
        <v>883.45080000000007</v>
      </c>
      <c r="C779" s="1">
        <f>(C$2+C$2*K779+C$2*L779)*(1+M779)</f>
        <v>928.50839999999994</v>
      </c>
      <c r="D779" s="1">
        <v>9</v>
      </c>
      <c r="E779" s="1">
        <v>5</v>
      </c>
      <c r="F779" s="1">
        <v>1</v>
      </c>
      <c r="G779" s="1">
        <f>SUMIFS($S$2:$S$10,$R$2:$R$10,D779)</f>
        <v>34</v>
      </c>
      <c r="H779" s="1">
        <f>SUMIFS($S$2:$S$10,$R$2:$R$10,E779)</f>
        <v>10</v>
      </c>
      <c r="I779" s="1">
        <f>SUMIFS($S$2:$S$10,$R$2:$R$10,F779)</f>
        <v>1</v>
      </c>
      <c r="J779" s="1">
        <f>SUM(G779:I779)</f>
        <v>45</v>
      </c>
      <c r="K779" s="1">
        <f>SUMIFS($U$2:$U$10,$R$2:$R$10,E779)</f>
        <v>7.0000000000000007E-2</v>
      </c>
      <c r="L779" s="1">
        <f>SUMIFS($V$2:$V$10,$R$2:$R$10,F779)</f>
        <v>0.01</v>
      </c>
      <c r="M779" s="1">
        <f>SUMIFS($T$2:$T$10,$R$2:$R$10,D779)</f>
        <v>0.49</v>
      </c>
    </row>
    <row r="780" spans="1:13" x14ac:dyDescent="0.25">
      <c r="A780" s="3">
        <f>(A$2+A$2*M780+A$2*L780)*(1+K780)</f>
        <v>716.49600000000009</v>
      </c>
      <c r="B780" s="3">
        <f>(B$2+B$2*M780+B$2*L780)*(1+K780)</f>
        <v>833.38199999999995</v>
      </c>
      <c r="C780" s="3">
        <f>(C$2+C$2*M780+C$2*L780)*(1+K780)</f>
        <v>875.88599999999997</v>
      </c>
      <c r="D780" s="3">
        <v>6</v>
      </c>
      <c r="E780" s="3">
        <v>6</v>
      </c>
      <c r="F780" s="3">
        <v>6</v>
      </c>
      <c r="G780" s="3">
        <f>SUMIFS($S$2:$S$10,$R$2:$R$10,D780)</f>
        <v>15</v>
      </c>
      <c r="H780" s="3">
        <f>SUMIFS($S$2:$S$10,$R$2:$R$10,E780)</f>
        <v>15</v>
      </c>
      <c r="I780" s="3">
        <f>SUMIFS($S$2:$S$10,$R$2:$R$10,F780)</f>
        <v>15</v>
      </c>
      <c r="J780" s="3">
        <f>SUM(G780:I780)</f>
        <v>45</v>
      </c>
      <c r="K780" s="3">
        <f>SUMIFS($T$2:$T$10,$R$2:$R$10,E780)</f>
        <v>0.32</v>
      </c>
      <c r="L780" s="3">
        <f>SUMIFS($V$2:$V$10,$R$2:$R$10,F780)</f>
        <v>0.06</v>
      </c>
      <c r="M780" s="3">
        <f>SUMIFS($U$2:$U$10,$R$2:$R$10,D780)</f>
        <v>0.09</v>
      </c>
    </row>
    <row r="781" spans="1:13" x14ac:dyDescent="0.25">
      <c r="A781" s="3">
        <f>(A$2+A$2*M781+A$2*L781)*(1+K781)</f>
        <v>701.34480000000008</v>
      </c>
      <c r="B781" s="3">
        <f>(B$2+B$2*M781+B$2*L781)*(1+K781)</f>
        <v>815.75909999999988</v>
      </c>
      <c r="C781" s="3">
        <f>(C$2+C$2*M781+C$2*L781)*(1+K781)</f>
        <v>857.36430000000007</v>
      </c>
      <c r="D781" s="3">
        <v>7</v>
      </c>
      <c r="E781" s="3">
        <v>5</v>
      </c>
      <c r="F781" s="3">
        <v>6</v>
      </c>
      <c r="G781" s="3">
        <f>SUMIFS($S$2:$S$10,$R$2:$R$10,D781)</f>
        <v>20</v>
      </c>
      <c r="H781" s="3">
        <f>SUMIFS($S$2:$S$10,$R$2:$R$10,E781)</f>
        <v>10</v>
      </c>
      <c r="I781" s="3">
        <f>SUMIFS($S$2:$S$10,$R$2:$R$10,F781)</f>
        <v>15</v>
      </c>
      <c r="J781" s="3">
        <f>SUM(G781:I781)</f>
        <v>45</v>
      </c>
      <c r="K781" s="3">
        <f>SUMIFS($T$2:$T$10,$R$2:$R$10,E781)</f>
        <v>0.27</v>
      </c>
      <c r="L781" s="3">
        <f>SUMIFS($V$2:$V$10,$R$2:$R$10,F781)</f>
        <v>0.06</v>
      </c>
      <c r="M781" s="3">
        <f>SUMIFS($U$2:$U$10,$R$2:$R$10,D781)</f>
        <v>0.11</v>
      </c>
    </row>
    <row r="782" spans="1:13" x14ac:dyDescent="0.25">
      <c r="A782" s="3">
        <f>(A$2+A$2*M782+A$2*L782)*(1+K782)</f>
        <v>722.72640000000001</v>
      </c>
      <c r="B782" s="3">
        <f>(B$2+B$2*M782+B$2*L782)*(1+K782)</f>
        <v>840.62880000000007</v>
      </c>
      <c r="C782" s="3">
        <f>(C$2+C$2*M782+C$2*L782)*(1+K782)</f>
        <v>883.50240000000008</v>
      </c>
      <c r="D782" s="3">
        <v>7</v>
      </c>
      <c r="E782" s="3">
        <v>6</v>
      </c>
      <c r="F782" s="3">
        <v>5</v>
      </c>
      <c r="G782" s="3">
        <f>SUMIFS($S$2:$S$10,$R$2:$R$10,D782)</f>
        <v>20</v>
      </c>
      <c r="H782" s="3">
        <f>SUMIFS($S$2:$S$10,$R$2:$R$10,E782)</f>
        <v>15</v>
      </c>
      <c r="I782" s="3">
        <f>SUMIFS($S$2:$S$10,$R$2:$R$10,F782)</f>
        <v>10</v>
      </c>
      <c r="J782" s="3">
        <f>SUM(G782:I782)</f>
        <v>45</v>
      </c>
      <c r="K782" s="3">
        <f>SUMIFS($T$2:$T$10,$R$2:$R$10,E782)</f>
        <v>0.32</v>
      </c>
      <c r="L782" s="3">
        <f>SUMIFS($V$2:$V$10,$R$2:$R$10,F782)</f>
        <v>0.05</v>
      </c>
      <c r="M782" s="3">
        <f>SUMIFS($U$2:$U$10,$R$2:$R$10,D782)</f>
        <v>0.11</v>
      </c>
    </row>
    <row r="783" spans="1:13" x14ac:dyDescent="0.25">
      <c r="A783" s="3">
        <f>(A$2+A$2*M783+A$2*L783)*(1+K783)</f>
        <v>640.03199999999993</v>
      </c>
      <c r="B783" s="3">
        <f>(B$2+B$2*M783+B$2*L783)*(1+K783)</f>
        <v>744.44399999999996</v>
      </c>
      <c r="C783" s="3">
        <f>(C$2+C$2*M783+C$2*L783)*(1+K783)</f>
        <v>782.41199999999992</v>
      </c>
      <c r="D783" s="3">
        <v>9</v>
      </c>
      <c r="E783" s="3">
        <v>1</v>
      </c>
      <c r="F783" s="3">
        <v>5</v>
      </c>
      <c r="G783" s="3">
        <f>SUMIFS($S$2:$S$10,$R$2:$R$10,D783)</f>
        <v>34</v>
      </c>
      <c r="H783" s="3">
        <f>SUMIFS($S$2:$S$10,$R$2:$R$10,E783)</f>
        <v>1</v>
      </c>
      <c r="I783" s="3">
        <f>SUMIFS($S$2:$S$10,$R$2:$R$10,F783)</f>
        <v>10</v>
      </c>
      <c r="J783" s="3">
        <f>SUM(G783:I783)</f>
        <v>45</v>
      </c>
      <c r="K783" s="3">
        <f>SUMIFS($T$2:$T$10,$R$2:$R$10,E783)</f>
        <v>0.13</v>
      </c>
      <c r="L783" s="3">
        <f>SUMIFS($V$2:$V$10,$R$2:$R$10,F783)</f>
        <v>0.05</v>
      </c>
      <c r="M783" s="3">
        <f>SUMIFS($U$2:$U$10,$R$2:$R$10,D783)</f>
        <v>0.15</v>
      </c>
    </row>
    <row r="784" spans="1:13" x14ac:dyDescent="0.25">
      <c r="A784" s="3">
        <f>(A$2+A$2*M784+A$2*L784)*(1+K784)</f>
        <v>668.39919999999995</v>
      </c>
      <c r="B784" s="3">
        <f>(B$2+B$2*M784+B$2*L784)*(1+K784)</f>
        <v>777.43889999999999</v>
      </c>
      <c r="C784" s="3">
        <f>(C$2+C$2*M784+C$2*L784)*(1+K784)</f>
        <v>817.08969999999999</v>
      </c>
      <c r="D784" s="3">
        <v>9</v>
      </c>
      <c r="E784" s="3">
        <v>3</v>
      </c>
      <c r="F784" s="3">
        <v>4</v>
      </c>
      <c r="G784" s="3">
        <f>SUMIFS($S$2:$S$10,$R$2:$R$10,D784)</f>
        <v>34</v>
      </c>
      <c r="H784" s="3">
        <f>SUMIFS($S$2:$S$10,$R$2:$R$10,E784)</f>
        <v>4</v>
      </c>
      <c r="I784" s="3">
        <f>SUMIFS($S$2:$S$10,$R$2:$R$10,F784)</f>
        <v>7</v>
      </c>
      <c r="J784" s="3">
        <f>SUM(G784:I784)</f>
        <v>45</v>
      </c>
      <c r="K784" s="3">
        <f>SUMIFS($T$2:$T$10,$R$2:$R$10,E784)</f>
        <v>0.19</v>
      </c>
      <c r="L784" s="3">
        <f>SUMIFS($V$2:$V$10,$R$2:$R$10,F784)</f>
        <v>0.04</v>
      </c>
      <c r="M784" s="3">
        <f>SUMIFS($U$2:$U$10,$R$2:$R$10,D784)</f>
        <v>0.15</v>
      </c>
    </row>
    <row r="785" spans="1:13" x14ac:dyDescent="0.25">
      <c r="A785" s="3">
        <f>(A$2+A$2*M785+A$2*L785)*(1+K785)</f>
        <v>679.49119999999994</v>
      </c>
      <c r="B785" s="3">
        <f>(B$2+B$2*M785+B$2*L785)*(1+K785)</f>
        <v>790.34040000000005</v>
      </c>
      <c r="C785" s="3">
        <f>(C$2+C$2*M785+C$2*L785)*(1+K785)</f>
        <v>830.64919999999984</v>
      </c>
      <c r="D785" s="3">
        <v>9</v>
      </c>
      <c r="E785" s="3">
        <v>4</v>
      </c>
      <c r="F785" s="3">
        <v>3</v>
      </c>
      <c r="G785" s="3">
        <f>SUMIFS($S$2:$S$10,$R$2:$R$10,D785)</f>
        <v>34</v>
      </c>
      <c r="H785" s="3">
        <f>SUMIFS($S$2:$S$10,$R$2:$R$10,E785)</f>
        <v>7</v>
      </c>
      <c r="I785" s="3">
        <f>SUMIFS($S$2:$S$10,$R$2:$R$10,F785)</f>
        <v>4</v>
      </c>
      <c r="J785" s="3">
        <f>SUM(G785:I785)</f>
        <v>45</v>
      </c>
      <c r="K785" s="3">
        <f>SUMIFS($T$2:$T$10,$R$2:$R$10,E785)</f>
        <v>0.22</v>
      </c>
      <c r="L785" s="3">
        <f>SUMIFS($V$2:$V$10,$R$2:$R$10,F785)</f>
        <v>0.03</v>
      </c>
      <c r="M785" s="3">
        <f>SUMIFS($U$2:$U$10,$R$2:$R$10,D785)</f>
        <v>0.15</v>
      </c>
    </row>
    <row r="786" spans="1:13" x14ac:dyDescent="0.25">
      <c r="A786" s="3">
        <f>(A$2+A$2*M786+A$2*L786)*(1+K786)</f>
        <v>695.35040000000004</v>
      </c>
      <c r="B786" s="3">
        <f>(B$2+B$2*M786+B$2*L786)*(1+K786)</f>
        <v>808.78680000000008</v>
      </c>
      <c r="C786" s="3">
        <f>(C$2+C$2*M786+C$2*L786)*(1+K786)</f>
        <v>850.03639999999996</v>
      </c>
      <c r="D786" s="3">
        <v>9</v>
      </c>
      <c r="E786" s="3">
        <v>5</v>
      </c>
      <c r="F786" s="3">
        <v>1</v>
      </c>
      <c r="G786" s="3">
        <f>SUMIFS($S$2:$S$10,$R$2:$R$10,D786)</f>
        <v>34</v>
      </c>
      <c r="H786" s="3">
        <f>SUMIFS($S$2:$S$10,$R$2:$R$10,E786)</f>
        <v>10</v>
      </c>
      <c r="I786" s="3">
        <f>SUMIFS($S$2:$S$10,$R$2:$R$10,F786)</f>
        <v>1</v>
      </c>
      <c r="J786" s="3">
        <f>SUM(G786:I786)</f>
        <v>45</v>
      </c>
      <c r="K786" s="3">
        <f>SUMIFS($T$2:$T$10,$R$2:$R$10,E786)</f>
        <v>0.27</v>
      </c>
      <c r="L786" s="3">
        <f>SUMIFS($V$2:$V$10,$R$2:$R$10,F786)</f>
        <v>0.01</v>
      </c>
      <c r="M786" s="3">
        <f>SUMIFS($U$2:$U$10,$R$2:$R$10,D786)</f>
        <v>0.15</v>
      </c>
    </row>
    <row r="787" spans="1:13" x14ac:dyDescent="0.25">
      <c r="A787" s="2">
        <f>(A$2+A$2*K787+A$2*M787)*(1+L787)</f>
        <v>716.49600000000009</v>
      </c>
      <c r="B787" s="2">
        <f>(B$2+B$2*K787+B$2*M787)*(1+L787)</f>
        <v>833.38199999999995</v>
      </c>
      <c r="C787" s="2">
        <f>(C$2+C$2*K787+C$2*M787)*(1+L787)</f>
        <v>875.88599999999997</v>
      </c>
      <c r="D787" s="2">
        <v>6</v>
      </c>
      <c r="E787" s="2">
        <v>6</v>
      </c>
      <c r="F787" s="2">
        <v>6</v>
      </c>
      <c r="G787" s="2">
        <f>SUMIFS($S$2:$S$10,$R$2:$R$10,D787)</f>
        <v>15</v>
      </c>
      <c r="H787" s="2">
        <f>SUMIFS($S$2:$S$10,$R$2:$R$10,E787)</f>
        <v>15</v>
      </c>
      <c r="I787" s="2">
        <f>SUMIFS($S$2:$S$10,$R$2:$R$10,F787)</f>
        <v>15</v>
      </c>
      <c r="J787" s="2">
        <f>SUM(G787:I787)</f>
        <v>45</v>
      </c>
      <c r="K787" s="2">
        <f>SUMIFS($U$2:$U$10,$R$2:$R$10,E787)</f>
        <v>0.09</v>
      </c>
      <c r="L787" s="2">
        <f>SUMIFS($T$2:$T$10,$R$2:$R$10,F787)</f>
        <v>0.32</v>
      </c>
      <c r="M787" s="2">
        <f>SUMIFS($V$2:$V$10,$R$2:$R$10,D787)</f>
        <v>0.06</v>
      </c>
    </row>
    <row r="788" spans="1:13" x14ac:dyDescent="0.25">
      <c r="A788" s="2">
        <f>(A$2+A$2*K788+A$2*M788)*(1+L788)</f>
        <v>710.26560000000006</v>
      </c>
      <c r="B788" s="2">
        <f>(B$2+B$2*K788+B$2*M788)*(1+L788)</f>
        <v>826.13520000000017</v>
      </c>
      <c r="C788" s="2">
        <f>(C$2+C$2*K788+C$2*M788)*(1+L788)</f>
        <v>868.26959999999997</v>
      </c>
      <c r="D788" s="2">
        <v>7</v>
      </c>
      <c r="E788" s="2">
        <v>5</v>
      </c>
      <c r="F788" s="2">
        <v>6</v>
      </c>
      <c r="G788" s="2">
        <f>SUMIFS($S$2:$S$10,$R$2:$R$10,D788)</f>
        <v>20</v>
      </c>
      <c r="H788" s="2">
        <f>SUMIFS($S$2:$S$10,$R$2:$R$10,E788)</f>
        <v>10</v>
      </c>
      <c r="I788" s="2">
        <f>SUMIFS($S$2:$S$10,$R$2:$R$10,F788)</f>
        <v>15</v>
      </c>
      <c r="J788" s="2">
        <f>SUM(G788:I788)</f>
        <v>45</v>
      </c>
      <c r="K788" s="2">
        <f>SUMIFS($U$2:$U$10,$R$2:$R$10,E788)</f>
        <v>7.0000000000000007E-2</v>
      </c>
      <c r="L788" s="2">
        <f>SUMIFS($T$2:$T$10,$R$2:$R$10,F788)</f>
        <v>0.32</v>
      </c>
      <c r="M788" s="2">
        <f>SUMIFS($V$2:$V$10,$R$2:$R$10,D788)</f>
        <v>7.0000000000000007E-2</v>
      </c>
    </row>
    <row r="789" spans="1:13" x14ac:dyDescent="0.25">
      <c r="A789" s="2">
        <f>(A$2+A$2*K789+A$2*M789)*(1+L789)</f>
        <v>695.35040000000004</v>
      </c>
      <c r="B789" s="2">
        <f>(B$2+B$2*K789+B$2*M789)*(1+L789)</f>
        <v>808.78679999999986</v>
      </c>
      <c r="C789" s="2">
        <f>(C$2+C$2*K789+C$2*M789)*(1+L789)</f>
        <v>850.03639999999996</v>
      </c>
      <c r="D789" s="2">
        <v>7</v>
      </c>
      <c r="E789" s="2">
        <v>6</v>
      </c>
      <c r="F789" s="2">
        <v>5</v>
      </c>
      <c r="G789" s="2">
        <f>SUMIFS($S$2:$S$10,$R$2:$R$10,D789)</f>
        <v>20</v>
      </c>
      <c r="H789" s="2">
        <f>SUMIFS($S$2:$S$10,$R$2:$R$10,E789)</f>
        <v>15</v>
      </c>
      <c r="I789" s="2">
        <f>SUMIFS($S$2:$S$10,$R$2:$R$10,F789)</f>
        <v>10</v>
      </c>
      <c r="J789" s="2">
        <f>SUM(G789:I789)</f>
        <v>45</v>
      </c>
      <c r="K789" s="2">
        <f>SUMIFS($U$2:$U$10,$R$2:$R$10,E789)</f>
        <v>0.09</v>
      </c>
      <c r="L789" s="2">
        <f>SUMIFS($T$2:$T$10,$R$2:$R$10,F789)</f>
        <v>0.27</v>
      </c>
      <c r="M789" s="2">
        <f>SUMIFS($V$2:$V$10,$R$2:$R$10,D789)</f>
        <v>7.0000000000000007E-2</v>
      </c>
    </row>
    <row r="790" spans="1:13" x14ac:dyDescent="0.25">
      <c r="A790" s="2">
        <f>(A$2+A$2*K790+A$2*M790)*(1+L790)</f>
        <v>659.38400000000001</v>
      </c>
      <c r="B790" s="2">
        <f>(B$2+B$2*K790+B$2*M790)*(1+L790)</f>
        <v>766.95299999999997</v>
      </c>
      <c r="C790" s="2">
        <f>(C$2+C$2*K790+C$2*M790)*(1+L790)</f>
        <v>806.06899999999996</v>
      </c>
      <c r="D790" s="2">
        <v>9</v>
      </c>
      <c r="E790" s="2">
        <v>1</v>
      </c>
      <c r="F790" s="2">
        <v>5</v>
      </c>
      <c r="G790" s="2">
        <f>SUMIFS($S$2:$S$10,$R$2:$R$10,D790)</f>
        <v>34</v>
      </c>
      <c r="H790" s="2">
        <f>SUMIFS($S$2:$S$10,$R$2:$R$10,E790)</f>
        <v>1</v>
      </c>
      <c r="I790" s="2">
        <f>SUMIFS($S$2:$S$10,$R$2:$R$10,F790)</f>
        <v>10</v>
      </c>
      <c r="J790" s="2">
        <f>SUM(G790:I790)</f>
        <v>45</v>
      </c>
      <c r="K790" s="2">
        <f>SUMIFS($U$2:$U$10,$R$2:$R$10,E790)</f>
        <v>0.01</v>
      </c>
      <c r="L790" s="2">
        <f>SUMIFS($T$2:$T$10,$R$2:$R$10,F790)</f>
        <v>0.27</v>
      </c>
      <c r="M790" s="2">
        <f>SUMIFS($V$2:$V$10,$R$2:$R$10,D790)</f>
        <v>0.09</v>
      </c>
    </row>
    <row r="791" spans="1:13" x14ac:dyDescent="0.25">
      <c r="A791" s="2">
        <f>(A$2+A$2*K791+A$2*M791)*(1+L791)</f>
        <v>644.94079999999997</v>
      </c>
      <c r="B791" s="2">
        <f>(B$2+B$2*K791+B$2*M791)*(1+L791)</f>
        <v>750.15359999999998</v>
      </c>
      <c r="C791" s="2">
        <f>(C$2+C$2*K791+C$2*M791)*(1+L791)</f>
        <v>788.41279999999983</v>
      </c>
      <c r="D791" s="2">
        <v>9</v>
      </c>
      <c r="E791" s="2">
        <v>3</v>
      </c>
      <c r="F791" s="2">
        <v>4</v>
      </c>
      <c r="G791" s="2">
        <f>SUMIFS($S$2:$S$10,$R$2:$R$10,D791)</f>
        <v>34</v>
      </c>
      <c r="H791" s="2">
        <f>SUMIFS($S$2:$S$10,$R$2:$R$10,E791)</f>
        <v>4</v>
      </c>
      <c r="I791" s="2">
        <f>SUMIFS($S$2:$S$10,$R$2:$R$10,F791)</f>
        <v>7</v>
      </c>
      <c r="J791" s="2">
        <f>SUM(G791:I791)</f>
        <v>45</v>
      </c>
      <c r="K791" s="2">
        <f>SUMIFS($U$2:$U$10,$R$2:$R$10,E791)</f>
        <v>0.03</v>
      </c>
      <c r="L791" s="2">
        <f>SUMIFS($T$2:$T$10,$R$2:$R$10,F791)</f>
        <v>0.22</v>
      </c>
      <c r="M791" s="2">
        <f>SUMIFS($V$2:$V$10,$R$2:$R$10,D791)</f>
        <v>0.09</v>
      </c>
    </row>
    <row r="792" spans="1:13" x14ac:dyDescent="0.25">
      <c r="A792" s="2">
        <f>(A$2+A$2*K792+A$2*M792)*(1+L792)</f>
        <v>640.3152</v>
      </c>
      <c r="B792" s="2">
        <f>(B$2+B$2*K792+B$2*M792)*(1+L792)</f>
        <v>744.77340000000004</v>
      </c>
      <c r="C792" s="2">
        <f>(C$2+C$2*K792+C$2*M792)*(1+L792)</f>
        <v>782.75819999999999</v>
      </c>
      <c r="D792" s="2">
        <v>9</v>
      </c>
      <c r="E792" s="2">
        <v>4</v>
      </c>
      <c r="F792" s="2">
        <v>3</v>
      </c>
      <c r="G792" s="2">
        <f>SUMIFS($S$2:$S$10,$R$2:$R$10,D792)</f>
        <v>34</v>
      </c>
      <c r="H792" s="2">
        <f>SUMIFS($S$2:$S$10,$R$2:$R$10,E792)</f>
        <v>7</v>
      </c>
      <c r="I792" s="2">
        <f>SUMIFS($S$2:$S$10,$R$2:$R$10,F792)</f>
        <v>4</v>
      </c>
      <c r="J792" s="2">
        <f>SUM(G792:I792)</f>
        <v>45</v>
      </c>
      <c r="K792" s="2">
        <f>SUMIFS($U$2:$U$10,$R$2:$R$10,E792)</f>
        <v>0.05</v>
      </c>
      <c r="L792" s="2">
        <f>SUMIFS($T$2:$T$10,$R$2:$R$10,F792)</f>
        <v>0.19</v>
      </c>
      <c r="M792" s="2">
        <f>SUMIFS($V$2:$V$10,$R$2:$R$10,D792)</f>
        <v>0.09</v>
      </c>
    </row>
    <row r="793" spans="1:13" x14ac:dyDescent="0.25">
      <c r="A793" s="2">
        <f>(A$2+A$2*K793+A$2*M793)*(1+L793)</f>
        <v>618.69759999999997</v>
      </c>
      <c r="B793" s="2">
        <f>(B$2+B$2*K793+B$2*M793)*(1+L793)</f>
        <v>719.62919999999997</v>
      </c>
      <c r="C793" s="2">
        <f>(C$2+C$2*K793+C$2*M793)*(1+L793)</f>
        <v>756.33159999999987</v>
      </c>
      <c r="D793" s="2">
        <v>9</v>
      </c>
      <c r="E793" s="2">
        <v>5</v>
      </c>
      <c r="F793" s="2">
        <v>1</v>
      </c>
      <c r="G793" s="2">
        <f>SUMIFS($S$2:$S$10,$R$2:$R$10,D793)</f>
        <v>34</v>
      </c>
      <c r="H793" s="2">
        <f>SUMIFS($S$2:$S$10,$R$2:$R$10,E793)</f>
        <v>10</v>
      </c>
      <c r="I793" s="2">
        <f>SUMIFS($S$2:$S$10,$R$2:$R$10,F793)</f>
        <v>1</v>
      </c>
      <c r="J793" s="2">
        <f>SUM(G793:I793)</f>
        <v>45</v>
      </c>
      <c r="K793" s="2">
        <f>SUMIFS($U$2:$U$10,$R$2:$R$10,E793)</f>
        <v>7.0000000000000007E-2</v>
      </c>
      <c r="L793" s="2">
        <f>SUMIFS($T$2:$T$10,$R$2:$R$10,F793)</f>
        <v>0.13</v>
      </c>
      <c r="M793" s="2">
        <f>SUMIFS($V$2:$V$10,$R$2:$R$10,D793)</f>
        <v>0.09</v>
      </c>
    </row>
    <row r="794" spans="1:13" x14ac:dyDescent="0.25">
      <c r="A794" s="1">
        <f>(A$2+A$2*K794+A$2*L794)*(1+M794)</f>
        <v>735.70640000000003</v>
      </c>
      <c r="B794" s="1">
        <f>(B$2+B$2*K794+B$2*L794)*(1+M794)</f>
        <v>855.72630000000004</v>
      </c>
      <c r="C794" s="1">
        <f>(C$2+C$2*K794+C$2*L794)*(1+M794)</f>
        <v>899.36989999999992</v>
      </c>
      <c r="D794" s="1">
        <v>8</v>
      </c>
      <c r="E794" s="1">
        <v>3</v>
      </c>
      <c r="F794" s="1">
        <v>6</v>
      </c>
      <c r="G794" s="1">
        <f>SUMIFS($S$2:$S$10,$R$2:$R$10,D794)</f>
        <v>27</v>
      </c>
      <c r="H794" s="1">
        <f>SUMIFS($S$2:$S$10,$R$2:$R$10,E794)</f>
        <v>4</v>
      </c>
      <c r="I794" s="1">
        <f>SUMIFS($S$2:$S$10,$R$2:$R$10,F794)</f>
        <v>15</v>
      </c>
      <c r="J794" s="1">
        <f>SUM(G794:I794)</f>
        <v>46</v>
      </c>
      <c r="K794" s="1">
        <f>SUMIFS($U$2:$U$10,$R$2:$R$10,E794)</f>
        <v>0.03</v>
      </c>
      <c r="L794" s="1">
        <f>SUMIFS($V$2:$V$10,$R$2:$R$10,F794)</f>
        <v>0.06</v>
      </c>
      <c r="M794" s="1">
        <f>SUMIFS($T$2:$T$10,$R$2:$R$10,D794)</f>
        <v>0.43</v>
      </c>
    </row>
    <row r="795" spans="1:13" x14ac:dyDescent="0.25">
      <c r="A795" s="1">
        <f>(A$2+A$2*K795+A$2*L795)*(1+M795)</f>
        <v>755.95519999999999</v>
      </c>
      <c r="B795" s="1">
        <f>(B$2+B$2*K795+B$2*L795)*(1+M795)</f>
        <v>879.27839999999992</v>
      </c>
      <c r="C795" s="1">
        <f>(C$2+C$2*K795+C$2*L795)*(1+M795)</f>
        <v>924.12319999999977</v>
      </c>
      <c r="D795" s="1">
        <v>8</v>
      </c>
      <c r="E795" s="1">
        <v>6</v>
      </c>
      <c r="F795" s="1">
        <v>3</v>
      </c>
      <c r="G795" s="1">
        <f>SUMIFS($S$2:$S$10,$R$2:$R$10,D795)</f>
        <v>27</v>
      </c>
      <c r="H795" s="1">
        <f>SUMIFS($S$2:$S$10,$R$2:$R$10,E795)</f>
        <v>15</v>
      </c>
      <c r="I795" s="1">
        <f>SUMIFS($S$2:$S$10,$R$2:$R$10,F795)</f>
        <v>4</v>
      </c>
      <c r="J795" s="1">
        <f>SUM(G795:I795)</f>
        <v>46</v>
      </c>
      <c r="K795" s="1">
        <f>SUMIFS($U$2:$U$10,$R$2:$R$10,E795)</f>
        <v>0.09</v>
      </c>
      <c r="L795" s="1">
        <f>SUMIFS($V$2:$V$10,$R$2:$R$10,F795)</f>
        <v>0.03</v>
      </c>
      <c r="M795" s="1">
        <f>SUMIFS($T$2:$T$10,$R$2:$R$10,D795)</f>
        <v>0.43</v>
      </c>
    </row>
    <row r="796" spans="1:13" x14ac:dyDescent="0.25">
      <c r="A796" s="1">
        <f>(A$2+A$2*K796+A$2*L796)*(1+M796)</f>
        <v>752.50959999999998</v>
      </c>
      <c r="B796" s="1">
        <f>(B$2+B$2*K796+B$2*L796)*(1+M796)</f>
        <v>875.27070000000003</v>
      </c>
      <c r="C796" s="1">
        <f>(C$2+C$2*K796+C$2*L796)*(1+M796)</f>
        <v>919.91109999999992</v>
      </c>
      <c r="D796" s="1">
        <v>9</v>
      </c>
      <c r="E796" s="1">
        <v>2</v>
      </c>
      <c r="F796" s="1">
        <v>5</v>
      </c>
      <c r="G796" s="1">
        <f>SUMIFS($S$2:$S$10,$R$2:$R$10,D796)</f>
        <v>34</v>
      </c>
      <c r="H796" s="1">
        <f>SUMIFS($S$2:$S$10,$R$2:$R$10,E796)</f>
        <v>2</v>
      </c>
      <c r="I796" s="1">
        <f>SUMIFS($S$2:$S$10,$R$2:$R$10,F796)</f>
        <v>10</v>
      </c>
      <c r="J796" s="1">
        <f>SUM(G796:I796)</f>
        <v>46</v>
      </c>
      <c r="K796" s="1">
        <f>SUMIFS($U$2:$U$10,$R$2:$R$10,E796)</f>
        <v>0.02</v>
      </c>
      <c r="L796" s="1">
        <f>SUMIFS($V$2:$V$10,$R$2:$R$10,F796)</f>
        <v>0.05</v>
      </c>
      <c r="M796" s="1">
        <f>SUMIFS($T$2:$T$10,$R$2:$R$10,D796)</f>
        <v>0.49</v>
      </c>
    </row>
    <row r="797" spans="1:13" x14ac:dyDescent="0.25">
      <c r="A797" s="1">
        <f>(A$2+A$2*K797+A$2*L797)*(1+M797)</f>
        <v>766.5752</v>
      </c>
      <c r="B797" s="1">
        <f>(B$2+B$2*K797+B$2*L797)*(1+M797)</f>
        <v>891.63090000000011</v>
      </c>
      <c r="C797" s="1">
        <f>(C$2+C$2*K797+C$2*L797)*(1+M797)</f>
        <v>937.10569999999996</v>
      </c>
      <c r="D797" s="1">
        <v>9</v>
      </c>
      <c r="E797" s="1">
        <v>5</v>
      </c>
      <c r="F797" s="1">
        <v>2</v>
      </c>
      <c r="G797" s="1">
        <f>SUMIFS($S$2:$S$10,$R$2:$R$10,D797)</f>
        <v>34</v>
      </c>
      <c r="H797" s="1">
        <f>SUMIFS($S$2:$S$10,$R$2:$R$10,E797)</f>
        <v>10</v>
      </c>
      <c r="I797" s="1">
        <f>SUMIFS($S$2:$S$10,$R$2:$R$10,F797)</f>
        <v>2</v>
      </c>
      <c r="J797" s="1">
        <f>SUM(G797:I797)</f>
        <v>46</v>
      </c>
      <c r="K797" s="1">
        <f>SUMIFS($U$2:$U$10,$R$2:$R$10,E797)</f>
        <v>7.0000000000000007E-2</v>
      </c>
      <c r="L797" s="1">
        <f>SUMIFS($V$2:$V$10,$R$2:$R$10,F797)</f>
        <v>0.02</v>
      </c>
      <c r="M797" s="1">
        <f>SUMIFS($T$2:$T$10,$R$2:$R$10,D797)</f>
        <v>0.49</v>
      </c>
    </row>
    <row r="798" spans="1:13" x14ac:dyDescent="0.25">
      <c r="A798" s="3">
        <f>(A$2+A$2*M798+A$2*L798)*(1+K798)</f>
        <v>668.39920000000006</v>
      </c>
      <c r="B798" s="3">
        <f>(B$2+B$2*M798+B$2*L798)*(1+K798)</f>
        <v>777.43889999999988</v>
      </c>
      <c r="C798" s="3">
        <f>(C$2+C$2*M798+C$2*L798)*(1+K798)</f>
        <v>817.08969999999999</v>
      </c>
      <c r="D798" s="3">
        <v>8</v>
      </c>
      <c r="E798" s="3">
        <v>3</v>
      </c>
      <c r="F798" s="3">
        <v>6</v>
      </c>
      <c r="G798" s="3">
        <f>SUMIFS($S$2:$S$10,$R$2:$R$10,D798)</f>
        <v>27</v>
      </c>
      <c r="H798" s="3">
        <f>SUMIFS($S$2:$S$10,$R$2:$R$10,E798)</f>
        <v>4</v>
      </c>
      <c r="I798" s="3">
        <f>SUMIFS($S$2:$S$10,$R$2:$R$10,F798)</f>
        <v>15</v>
      </c>
      <c r="J798" s="3">
        <f>SUM(G798:I798)</f>
        <v>46</v>
      </c>
      <c r="K798" s="3">
        <f>SUMIFS($T$2:$T$10,$R$2:$R$10,E798)</f>
        <v>0.19</v>
      </c>
      <c r="L798" s="3">
        <f>SUMIFS($V$2:$V$10,$R$2:$R$10,F798)</f>
        <v>0.06</v>
      </c>
      <c r="M798" s="3">
        <f>SUMIFS($U$2:$U$10,$R$2:$R$10,D798)</f>
        <v>0.13</v>
      </c>
    </row>
    <row r="799" spans="1:13" x14ac:dyDescent="0.25">
      <c r="A799" s="3">
        <f>(A$2+A$2*M799+A$2*L799)*(1+K799)</f>
        <v>722.72640000000001</v>
      </c>
      <c r="B799" s="3">
        <f>(B$2+B$2*M799+B$2*L799)*(1+K799)</f>
        <v>840.62880000000007</v>
      </c>
      <c r="C799" s="3">
        <f>(C$2+C$2*M799+C$2*L799)*(1+K799)</f>
        <v>883.50239999999997</v>
      </c>
      <c r="D799" s="3">
        <v>8</v>
      </c>
      <c r="E799" s="3">
        <v>6</v>
      </c>
      <c r="F799" s="3">
        <v>3</v>
      </c>
      <c r="G799" s="3">
        <f>SUMIFS($S$2:$S$10,$R$2:$R$10,D799)</f>
        <v>27</v>
      </c>
      <c r="H799" s="3">
        <f>SUMIFS($S$2:$S$10,$R$2:$R$10,E799)</f>
        <v>15</v>
      </c>
      <c r="I799" s="3">
        <f>SUMIFS($S$2:$S$10,$R$2:$R$10,F799)</f>
        <v>4</v>
      </c>
      <c r="J799" s="3">
        <f>SUM(G799:I799)</f>
        <v>46</v>
      </c>
      <c r="K799" s="3">
        <f>SUMIFS($T$2:$T$10,$R$2:$R$10,E799)</f>
        <v>0.32</v>
      </c>
      <c r="L799" s="3">
        <f>SUMIFS($V$2:$V$10,$R$2:$R$10,F799)</f>
        <v>0.03</v>
      </c>
      <c r="M799" s="3">
        <f>SUMIFS($U$2:$U$10,$R$2:$R$10,D799)</f>
        <v>0.13</v>
      </c>
    </row>
    <row r="800" spans="1:13" x14ac:dyDescent="0.25">
      <c r="A800" s="3">
        <f>(A$2+A$2*M800+A$2*L800)*(1+K800)</f>
        <v>657.02399999999989</v>
      </c>
      <c r="B800" s="3">
        <f>(B$2+B$2*M800+B$2*L800)*(1+K800)</f>
        <v>764.20799999999997</v>
      </c>
      <c r="C800" s="3">
        <f>(C$2+C$2*M800+C$2*L800)*(1+K800)</f>
        <v>803.18399999999997</v>
      </c>
      <c r="D800" s="3">
        <v>9</v>
      </c>
      <c r="E800" s="3">
        <v>2</v>
      </c>
      <c r="F800" s="3">
        <v>5</v>
      </c>
      <c r="G800" s="3">
        <f>SUMIFS($S$2:$S$10,$R$2:$R$10,D800)</f>
        <v>34</v>
      </c>
      <c r="H800" s="3">
        <f>SUMIFS($S$2:$S$10,$R$2:$R$10,E800)</f>
        <v>2</v>
      </c>
      <c r="I800" s="3">
        <f>SUMIFS($S$2:$S$10,$R$2:$R$10,F800)</f>
        <v>10</v>
      </c>
      <c r="J800" s="3">
        <f>SUM(G800:I800)</f>
        <v>46</v>
      </c>
      <c r="K800" s="3">
        <f>SUMIFS($T$2:$T$10,$R$2:$R$10,E800)</f>
        <v>0.16</v>
      </c>
      <c r="L800" s="3">
        <f>SUMIFS($V$2:$V$10,$R$2:$R$10,F800)</f>
        <v>0.05</v>
      </c>
      <c r="M800" s="3">
        <f>SUMIFS($U$2:$U$10,$R$2:$R$10,D800)</f>
        <v>0.15</v>
      </c>
    </row>
    <row r="801" spans="1:13" x14ac:dyDescent="0.25">
      <c r="A801" s="3">
        <f>(A$2+A$2*M801+A$2*L801)*(1+K801)</f>
        <v>701.34480000000008</v>
      </c>
      <c r="B801" s="3">
        <f>(B$2+B$2*M801+B$2*L801)*(1+K801)</f>
        <v>815.7591000000001</v>
      </c>
      <c r="C801" s="3">
        <f>(C$2+C$2*M801+C$2*L801)*(1+K801)</f>
        <v>857.36429999999996</v>
      </c>
      <c r="D801" s="3">
        <v>9</v>
      </c>
      <c r="E801" s="3">
        <v>5</v>
      </c>
      <c r="F801" s="3">
        <v>2</v>
      </c>
      <c r="G801" s="3">
        <f>SUMIFS($S$2:$S$10,$R$2:$R$10,D801)</f>
        <v>34</v>
      </c>
      <c r="H801" s="3">
        <f>SUMIFS($S$2:$S$10,$R$2:$R$10,E801)</f>
        <v>10</v>
      </c>
      <c r="I801" s="3">
        <f>SUMIFS($S$2:$S$10,$R$2:$R$10,F801)</f>
        <v>2</v>
      </c>
      <c r="J801" s="3">
        <f>SUM(G801:I801)</f>
        <v>46</v>
      </c>
      <c r="K801" s="3">
        <f>SUMIFS($T$2:$T$10,$R$2:$R$10,E801)</f>
        <v>0.27</v>
      </c>
      <c r="L801" s="3">
        <f>SUMIFS($V$2:$V$10,$R$2:$R$10,F801)</f>
        <v>0.02</v>
      </c>
      <c r="M801" s="3">
        <f>SUMIFS($U$2:$U$10,$R$2:$R$10,D801)</f>
        <v>0.15</v>
      </c>
    </row>
    <row r="802" spans="1:13" x14ac:dyDescent="0.25">
      <c r="A802" s="2">
        <f>(A$2+A$2*K802+A$2*M802)*(1+L802)</f>
        <v>691.57440000000008</v>
      </c>
      <c r="B802" s="2">
        <f>(B$2+B$2*K802+B$2*M802)*(1+L802)</f>
        <v>804.39480000000003</v>
      </c>
      <c r="C802" s="2">
        <f>(C$2+C$2*K802+C$2*M802)*(1+L802)</f>
        <v>845.42039999999997</v>
      </c>
      <c r="D802" s="2">
        <v>8</v>
      </c>
      <c r="E802" s="2">
        <v>3</v>
      </c>
      <c r="F802" s="2">
        <v>6</v>
      </c>
      <c r="G802" s="2">
        <f>SUMIFS($S$2:$S$10,$R$2:$R$10,D802)</f>
        <v>27</v>
      </c>
      <c r="H802" s="2">
        <f>SUMIFS($S$2:$S$10,$R$2:$R$10,E802)</f>
        <v>4</v>
      </c>
      <c r="I802" s="2">
        <f>SUMIFS($S$2:$S$10,$R$2:$R$10,F802)</f>
        <v>15</v>
      </c>
      <c r="J802" s="2">
        <f>SUM(G802:I802)</f>
        <v>46</v>
      </c>
      <c r="K802" s="2">
        <f>SUMIFS($U$2:$U$10,$R$2:$R$10,E802)</f>
        <v>0.03</v>
      </c>
      <c r="L802" s="2">
        <f>SUMIFS($T$2:$T$10,$R$2:$R$10,F802)</f>
        <v>0.32</v>
      </c>
      <c r="M802" s="2">
        <f>SUMIFS($V$2:$V$10,$R$2:$R$10,D802)</f>
        <v>0.08</v>
      </c>
    </row>
    <row r="803" spans="1:13" x14ac:dyDescent="0.25">
      <c r="A803" s="2">
        <f>(A$2+A$2*K803+A$2*M803)*(1+L803)</f>
        <v>657.16559999999993</v>
      </c>
      <c r="B803" s="2">
        <f>(B$2+B$2*K803+B$2*M803)*(1+L803)</f>
        <v>764.3726999999999</v>
      </c>
      <c r="C803" s="2">
        <f>(C$2+C$2*K803+C$2*M803)*(1+L803)</f>
        <v>803.35709999999983</v>
      </c>
      <c r="D803" s="2">
        <v>8</v>
      </c>
      <c r="E803" s="2">
        <v>6</v>
      </c>
      <c r="F803" s="2">
        <v>3</v>
      </c>
      <c r="G803" s="2">
        <f>SUMIFS($S$2:$S$10,$R$2:$R$10,D803)</f>
        <v>27</v>
      </c>
      <c r="H803" s="2">
        <f>SUMIFS($S$2:$S$10,$R$2:$R$10,E803)</f>
        <v>15</v>
      </c>
      <c r="I803" s="2">
        <f>SUMIFS($S$2:$S$10,$R$2:$R$10,F803)</f>
        <v>4</v>
      </c>
      <c r="J803" s="2">
        <f>SUM(G803:I803)</f>
        <v>46</v>
      </c>
      <c r="K803" s="2">
        <f>SUMIFS($U$2:$U$10,$R$2:$R$10,E803)</f>
        <v>0.09</v>
      </c>
      <c r="L803" s="2">
        <f>SUMIFS($T$2:$T$10,$R$2:$R$10,F803)</f>
        <v>0.19</v>
      </c>
      <c r="M803" s="2">
        <f>SUMIFS($V$2:$V$10,$R$2:$R$10,D803)</f>
        <v>0.08</v>
      </c>
    </row>
    <row r="804" spans="1:13" x14ac:dyDescent="0.25">
      <c r="A804" s="2">
        <f>(A$2+A$2*K804+A$2*M804)*(1+L804)</f>
        <v>665.37839999999994</v>
      </c>
      <c r="B804" s="2">
        <f>(B$2+B$2*K804+B$2*M804)*(1+L804)</f>
        <v>773.92529999999999</v>
      </c>
      <c r="C804" s="2">
        <f>(C$2+C$2*K804+C$2*M804)*(1+L804)</f>
        <v>813.39689999999985</v>
      </c>
      <c r="D804" s="2">
        <v>9</v>
      </c>
      <c r="E804" s="2">
        <v>2</v>
      </c>
      <c r="F804" s="2">
        <v>5</v>
      </c>
      <c r="G804" s="2">
        <f>SUMIFS($S$2:$S$10,$R$2:$R$10,D804)</f>
        <v>34</v>
      </c>
      <c r="H804" s="2">
        <f>SUMIFS($S$2:$S$10,$R$2:$R$10,E804)</f>
        <v>2</v>
      </c>
      <c r="I804" s="2">
        <f>SUMIFS($S$2:$S$10,$R$2:$R$10,F804)</f>
        <v>10</v>
      </c>
      <c r="J804" s="2">
        <f>SUM(G804:I804)</f>
        <v>46</v>
      </c>
      <c r="K804" s="2">
        <f>SUMIFS($U$2:$U$10,$R$2:$R$10,E804)</f>
        <v>0.02</v>
      </c>
      <c r="L804" s="2">
        <f>SUMIFS($T$2:$T$10,$R$2:$R$10,F804)</f>
        <v>0.27</v>
      </c>
      <c r="M804" s="2">
        <f>SUMIFS($V$2:$V$10,$R$2:$R$10,D804)</f>
        <v>0.09</v>
      </c>
    </row>
    <row r="805" spans="1:13" x14ac:dyDescent="0.25">
      <c r="A805" s="2">
        <f>(A$2+A$2*K805+A$2*M805)*(1+L805)</f>
        <v>635.12319999999988</v>
      </c>
      <c r="B805" s="2">
        <f>(B$2+B$2*K805+B$2*M805)*(1+L805)</f>
        <v>738.73439999999994</v>
      </c>
      <c r="C805" s="2">
        <f>(C$2+C$2*K805+C$2*M805)*(1+L805)</f>
        <v>776.41119999999989</v>
      </c>
      <c r="D805" s="2">
        <v>9</v>
      </c>
      <c r="E805" s="2">
        <v>5</v>
      </c>
      <c r="F805" s="2">
        <v>2</v>
      </c>
      <c r="G805" s="2">
        <f>SUMIFS($S$2:$S$10,$R$2:$R$10,D805)</f>
        <v>34</v>
      </c>
      <c r="H805" s="2">
        <f>SUMIFS($S$2:$S$10,$R$2:$R$10,E805)</f>
        <v>10</v>
      </c>
      <c r="I805" s="2">
        <f>SUMIFS($S$2:$S$10,$R$2:$R$10,F805)</f>
        <v>2</v>
      </c>
      <c r="J805" s="2">
        <f>SUM(G805:I805)</f>
        <v>46</v>
      </c>
      <c r="K805" s="2">
        <f>SUMIFS($U$2:$U$10,$R$2:$R$10,E805)</f>
        <v>7.0000000000000007E-2</v>
      </c>
      <c r="L805" s="2">
        <f>SUMIFS($T$2:$T$10,$R$2:$R$10,F805)</f>
        <v>0.16</v>
      </c>
      <c r="M805" s="2">
        <f>SUMIFS($V$2:$V$10,$R$2:$R$10,D805)</f>
        <v>0.09</v>
      </c>
    </row>
    <row r="806" spans="1:13" x14ac:dyDescent="0.25">
      <c r="A806" s="1">
        <f>(A$2+A$2*K806+A$2*L806)*(1+M806)</f>
        <v>724.23680000000002</v>
      </c>
      <c r="B806" s="1">
        <f>(B$2+B$2*K806+B$2*L806)*(1+M806)</f>
        <v>842.38560000000018</v>
      </c>
      <c r="C806" s="1">
        <f>(C$2+C$2*K806+C$2*L806)*(1+M806)</f>
        <v>885.3488000000001</v>
      </c>
      <c r="D806" s="1">
        <v>7</v>
      </c>
      <c r="E806" s="1">
        <v>4</v>
      </c>
      <c r="F806" s="1">
        <v>7</v>
      </c>
      <c r="G806" s="1">
        <f>SUMIFS($S$2:$S$10,$R$2:$R$10,D806)</f>
        <v>20</v>
      </c>
      <c r="H806" s="1">
        <f>SUMIFS($S$2:$S$10,$R$2:$R$10,E806)</f>
        <v>7</v>
      </c>
      <c r="I806" s="1">
        <f>SUMIFS($S$2:$S$10,$R$2:$R$10,F806)</f>
        <v>20</v>
      </c>
      <c r="J806" s="1">
        <f>SUM(G806:I806)</f>
        <v>47</v>
      </c>
      <c r="K806" s="1">
        <f>SUMIFS($U$2:$U$10,$R$2:$R$10,E806)</f>
        <v>0.05</v>
      </c>
      <c r="L806" s="1">
        <f>SUMIFS($V$2:$V$10,$R$2:$R$10,F806)</f>
        <v>7.0000000000000007E-2</v>
      </c>
      <c r="M806" s="1">
        <f>SUMIFS($T$2:$T$10,$R$2:$R$10,D806)</f>
        <v>0.37</v>
      </c>
    </row>
    <row r="807" spans="1:13" x14ac:dyDescent="0.25">
      <c r="A807" s="1">
        <f>(A$2+A$2*K807+A$2*L807)*(1+M807)</f>
        <v>743.63599999999997</v>
      </c>
      <c r="B807" s="1">
        <f>(B$2+B$2*K807+B$2*L807)*(1+M807)</f>
        <v>864.94950000000006</v>
      </c>
      <c r="C807" s="1">
        <f>(C$2+C$2*K807+C$2*L807)*(1+M807)</f>
        <v>909.0635000000002</v>
      </c>
      <c r="D807" s="1">
        <v>7</v>
      </c>
      <c r="E807" s="1">
        <v>7</v>
      </c>
      <c r="F807" s="1">
        <v>4</v>
      </c>
      <c r="G807" s="1">
        <f>SUMIFS($S$2:$S$10,$R$2:$R$10,D807)</f>
        <v>20</v>
      </c>
      <c r="H807" s="1">
        <f>SUMIFS($S$2:$S$10,$R$2:$R$10,E807)</f>
        <v>20</v>
      </c>
      <c r="I807" s="1">
        <f>SUMIFS($S$2:$S$10,$R$2:$R$10,F807)</f>
        <v>7</v>
      </c>
      <c r="J807" s="1">
        <f>SUM(G807:I807)</f>
        <v>47</v>
      </c>
      <c r="K807" s="1">
        <f>SUMIFS($U$2:$U$10,$R$2:$R$10,E807)</f>
        <v>0.11</v>
      </c>
      <c r="L807" s="1">
        <f>SUMIFS($V$2:$V$10,$R$2:$R$10,F807)</f>
        <v>0.04</v>
      </c>
      <c r="M807" s="1">
        <f>SUMIFS($T$2:$T$10,$R$2:$R$10,D807)</f>
        <v>0.37</v>
      </c>
    </row>
    <row r="808" spans="1:13" x14ac:dyDescent="0.25">
      <c r="A808" s="1">
        <f>(A$2+A$2*K808+A$2*L808)*(1+M808)</f>
        <v>722.20719999999994</v>
      </c>
      <c r="B808" s="1">
        <f>(B$2+B$2*K808+B$2*L808)*(1+M808)</f>
        <v>840.0249</v>
      </c>
      <c r="C808" s="1">
        <f>(C$2+C$2*K808+C$2*L808)*(1+M808)</f>
        <v>882.8676999999999</v>
      </c>
      <c r="D808" s="1">
        <v>8</v>
      </c>
      <c r="E808" s="1">
        <v>0</v>
      </c>
      <c r="F808" s="1">
        <v>7</v>
      </c>
      <c r="G808" s="1">
        <f>SUMIFS($S$2:$S$10,$R$2:$R$10,D808)</f>
        <v>27</v>
      </c>
      <c r="H808" s="1">
        <f>SUMIFS($S$2:$S$10,$R$2:$R$10,E808)</f>
        <v>0</v>
      </c>
      <c r="I808" s="1">
        <f>SUMIFS($S$2:$S$10,$R$2:$R$10,F808)</f>
        <v>20</v>
      </c>
      <c r="J808" s="1">
        <f>SUM(G808:I808)</f>
        <v>47</v>
      </c>
      <c r="K808" s="1">
        <f>SUMIFS($U$2:$U$10,$R$2:$R$10,E808)</f>
        <v>0</v>
      </c>
      <c r="L808" s="1">
        <f>SUMIFS($V$2:$V$10,$R$2:$R$10,F808)</f>
        <v>7.0000000000000007E-2</v>
      </c>
      <c r="M808" s="1">
        <f>SUMIFS($T$2:$T$10,$R$2:$R$10,D808)</f>
        <v>0.43</v>
      </c>
    </row>
    <row r="809" spans="1:13" x14ac:dyDescent="0.25">
      <c r="A809" s="1">
        <f>(A$2+A$2*K809+A$2*L809)*(1+M809)</f>
        <v>755.95519999999999</v>
      </c>
      <c r="B809" s="1">
        <f>(B$2+B$2*K809+B$2*L809)*(1+M809)</f>
        <v>879.27840000000015</v>
      </c>
      <c r="C809" s="1">
        <f>(C$2+C$2*K809+C$2*L809)*(1+M809)</f>
        <v>924.1232</v>
      </c>
      <c r="D809" s="1">
        <v>8</v>
      </c>
      <c r="E809" s="1">
        <v>5</v>
      </c>
      <c r="F809" s="1">
        <v>5</v>
      </c>
      <c r="G809" s="1">
        <f>SUMIFS($S$2:$S$10,$R$2:$R$10,D809)</f>
        <v>27</v>
      </c>
      <c r="H809" s="1">
        <f>SUMIFS($S$2:$S$10,$R$2:$R$10,E809)</f>
        <v>10</v>
      </c>
      <c r="I809" s="1">
        <f>SUMIFS($S$2:$S$10,$R$2:$R$10,F809)</f>
        <v>10</v>
      </c>
      <c r="J809" s="1">
        <f>SUM(G809:I809)</f>
        <v>47</v>
      </c>
      <c r="K809" s="1">
        <f>SUMIFS($U$2:$U$10,$R$2:$R$10,E809)</f>
        <v>7.0000000000000007E-2</v>
      </c>
      <c r="L809" s="1">
        <f>SUMIFS($V$2:$V$10,$R$2:$R$10,F809)</f>
        <v>0.05</v>
      </c>
      <c r="M809" s="1">
        <f>SUMIFS($T$2:$T$10,$R$2:$R$10,D809)</f>
        <v>0.43</v>
      </c>
    </row>
    <row r="810" spans="1:13" x14ac:dyDescent="0.25">
      <c r="A810" s="1">
        <f>(A$2+A$2*K810+A$2*L810)*(1+M810)</f>
        <v>749.20559999999989</v>
      </c>
      <c r="B810" s="1">
        <f>(B$2+B$2*K810+B$2*L810)*(1+M810)</f>
        <v>871.42769999999996</v>
      </c>
      <c r="C810" s="1">
        <f>(C$2+C$2*K810+C$2*L810)*(1+M810)</f>
        <v>915.87210000000005</v>
      </c>
      <c r="D810" s="1">
        <v>8</v>
      </c>
      <c r="E810" s="1">
        <v>7</v>
      </c>
      <c r="F810" s="1">
        <v>0</v>
      </c>
      <c r="G810" s="1">
        <f>SUMIFS($S$2:$S$10,$R$2:$R$10,D810)</f>
        <v>27</v>
      </c>
      <c r="H810" s="1">
        <f>SUMIFS($S$2:$S$10,$R$2:$R$10,E810)</f>
        <v>20</v>
      </c>
      <c r="I810" s="1">
        <f>SUMIFS($S$2:$S$10,$R$2:$R$10,F810)</f>
        <v>0</v>
      </c>
      <c r="J810" s="1">
        <f>SUM(G810:I810)</f>
        <v>47</v>
      </c>
      <c r="K810" s="1">
        <f>SUMIFS($U$2:$U$10,$R$2:$R$10,E810)</f>
        <v>0.11</v>
      </c>
      <c r="L810" s="1">
        <f>SUMIFS($V$2:$V$10,$R$2:$R$10,F810)</f>
        <v>0</v>
      </c>
      <c r="M810" s="1">
        <f>SUMIFS($T$2:$T$10,$R$2:$R$10,D810)</f>
        <v>0.43</v>
      </c>
    </row>
    <row r="811" spans="1:13" x14ac:dyDescent="0.25">
      <c r="A811" s="3">
        <f>(A$2+A$2*M811+A$2*L811)*(1+K811)</f>
        <v>679.49119999999994</v>
      </c>
      <c r="B811" s="3">
        <f>(B$2+B$2*M811+B$2*L811)*(1+K811)</f>
        <v>790.34039999999993</v>
      </c>
      <c r="C811" s="3">
        <f>(C$2+C$2*M811+C$2*L811)*(1+K811)</f>
        <v>830.64919999999995</v>
      </c>
      <c r="D811" s="3">
        <v>7</v>
      </c>
      <c r="E811" s="3">
        <v>4</v>
      </c>
      <c r="F811" s="3">
        <v>7</v>
      </c>
      <c r="G811" s="3">
        <f>SUMIFS($S$2:$S$10,$R$2:$R$10,D811)</f>
        <v>20</v>
      </c>
      <c r="H811" s="3">
        <f>SUMIFS($S$2:$S$10,$R$2:$R$10,E811)</f>
        <v>7</v>
      </c>
      <c r="I811" s="3">
        <f>SUMIFS($S$2:$S$10,$R$2:$R$10,F811)</f>
        <v>20</v>
      </c>
      <c r="J811" s="3">
        <f>SUM(G811:I811)</f>
        <v>47</v>
      </c>
      <c r="K811" s="3">
        <f>SUMIFS($T$2:$T$10,$R$2:$R$10,E811)</f>
        <v>0.22</v>
      </c>
      <c r="L811" s="3">
        <f>SUMIFS($V$2:$V$10,$R$2:$R$10,F811)</f>
        <v>7.0000000000000007E-2</v>
      </c>
      <c r="M811" s="3">
        <f>SUMIFS($U$2:$U$10,$R$2:$R$10,D811)</f>
        <v>0.11</v>
      </c>
    </row>
    <row r="812" spans="1:13" x14ac:dyDescent="0.25">
      <c r="A812" s="3">
        <f>(A$2+A$2*M812+A$2*L812)*(1+K812)</f>
        <v>743.63599999999997</v>
      </c>
      <c r="B812" s="3">
        <f>(B$2+B$2*M812+B$2*L812)*(1+K812)</f>
        <v>864.94950000000006</v>
      </c>
      <c r="C812" s="3">
        <f>(C$2+C$2*M812+C$2*L812)*(1+K812)</f>
        <v>909.0635000000002</v>
      </c>
      <c r="D812" s="3">
        <v>7</v>
      </c>
      <c r="E812" s="3">
        <v>7</v>
      </c>
      <c r="F812" s="3">
        <v>4</v>
      </c>
      <c r="G812" s="3">
        <f>SUMIFS($S$2:$S$10,$R$2:$R$10,D812)</f>
        <v>20</v>
      </c>
      <c r="H812" s="3">
        <f>SUMIFS($S$2:$S$10,$R$2:$R$10,E812)</f>
        <v>20</v>
      </c>
      <c r="I812" s="3">
        <f>SUMIFS($S$2:$S$10,$R$2:$R$10,F812)</f>
        <v>7</v>
      </c>
      <c r="J812" s="3">
        <f>SUM(G812:I812)</f>
        <v>47</v>
      </c>
      <c r="K812" s="3">
        <f>SUMIFS($T$2:$T$10,$R$2:$R$10,E812)</f>
        <v>0.37</v>
      </c>
      <c r="L812" s="3">
        <f>SUMIFS($V$2:$V$10,$R$2:$R$10,F812)</f>
        <v>0.04</v>
      </c>
      <c r="M812" s="3">
        <f>SUMIFS($U$2:$U$10,$R$2:$R$10,D812)</f>
        <v>0.11</v>
      </c>
    </row>
    <row r="813" spans="1:13" x14ac:dyDescent="0.25">
      <c r="A813" s="3">
        <f>(A$2+A$2*M813+A$2*L813)*(1+K813)</f>
        <v>566.4</v>
      </c>
      <c r="B813" s="3">
        <f>(B$2+B$2*M813+B$2*L813)*(1+K813)</f>
        <v>658.8</v>
      </c>
      <c r="C813" s="3">
        <f>(C$2+C$2*M813+C$2*L813)*(1+K813)</f>
        <v>692.4</v>
      </c>
      <c r="D813" s="3">
        <v>8</v>
      </c>
      <c r="E813" s="3">
        <v>0</v>
      </c>
      <c r="F813" s="3">
        <v>7</v>
      </c>
      <c r="G813" s="3">
        <f>SUMIFS($S$2:$S$10,$R$2:$R$10,D813)</f>
        <v>27</v>
      </c>
      <c r="H813" s="3">
        <f>SUMIFS($S$2:$S$10,$R$2:$R$10,E813)</f>
        <v>0</v>
      </c>
      <c r="I813" s="3">
        <f>SUMIFS($S$2:$S$10,$R$2:$R$10,F813)</f>
        <v>20</v>
      </c>
      <c r="J813" s="3">
        <f>SUM(G813:I813)</f>
        <v>47</v>
      </c>
      <c r="K813" s="3">
        <f>SUMIFS($T$2:$T$10,$R$2:$R$10,E813)</f>
        <v>0</v>
      </c>
      <c r="L813" s="3">
        <f>SUMIFS($V$2:$V$10,$R$2:$R$10,F813)</f>
        <v>7.0000000000000007E-2</v>
      </c>
      <c r="M813" s="3">
        <f>SUMIFS($U$2:$U$10,$R$2:$R$10,D813)</f>
        <v>0.13</v>
      </c>
    </row>
    <row r="814" spans="1:13" x14ac:dyDescent="0.25">
      <c r="A814" s="3">
        <f>(A$2+A$2*M814+A$2*L814)*(1+K814)</f>
        <v>707.33920000000001</v>
      </c>
      <c r="B814" s="3">
        <f>(B$2+B$2*M814+B$2*L814)*(1+K814)</f>
        <v>822.73140000000012</v>
      </c>
      <c r="C814" s="3">
        <f>(C$2+C$2*M814+C$2*L814)*(1+K814)</f>
        <v>864.69220000000007</v>
      </c>
      <c r="D814" s="3">
        <v>8</v>
      </c>
      <c r="E814" s="3">
        <v>5</v>
      </c>
      <c r="F814" s="3">
        <v>5</v>
      </c>
      <c r="G814" s="3">
        <f>SUMIFS($S$2:$S$10,$R$2:$R$10,D814)</f>
        <v>27</v>
      </c>
      <c r="H814" s="3">
        <f>SUMIFS($S$2:$S$10,$R$2:$R$10,E814)</f>
        <v>10</v>
      </c>
      <c r="I814" s="3">
        <f>SUMIFS($S$2:$S$10,$R$2:$R$10,F814)</f>
        <v>10</v>
      </c>
      <c r="J814" s="3">
        <f>SUM(G814:I814)</f>
        <v>47</v>
      </c>
      <c r="K814" s="3">
        <f>SUMIFS($T$2:$T$10,$R$2:$R$10,E814)</f>
        <v>0.27</v>
      </c>
      <c r="L814" s="3">
        <f>SUMIFS($V$2:$V$10,$R$2:$R$10,F814)</f>
        <v>0.05</v>
      </c>
      <c r="M814" s="3">
        <f>SUMIFS($U$2:$U$10,$R$2:$R$10,D814)</f>
        <v>0.13</v>
      </c>
    </row>
    <row r="815" spans="1:13" x14ac:dyDescent="0.25">
      <c r="A815" s="3">
        <f>(A$2+A$2*M815+A$2*L815)*(1+K815)</f>
        <v>730.70320000000004</v>
      </c>
      <c r="B815" s="3">
        <f>(B$2+B$2*M815+B$2*L815)*(1+K815)</f>
        <v>849.90690000000006</v>
      </c>
      <c r="C815" s="3">
        <f>(C$2+C$2*M815+C$2*L815)*(1+K815)</f>
        <v>893.25370000000009</v>
      </c>
      <c r="D815" s="3">
        <v>8</v>
      </c>
      <c r="E815" s="3">
        <v>7</v>
      </c>
      <c r="F815" s="3">
        <v>0</v>
      </c>
      <c r="G815" s="3">
        <f>SUMIFS($S$2:$S$10,$R$2:$R$10,D815)</f>
        <v>27</v>
      </c>
      <c r="H815" s="3">
        <f>SUMIFS($S$2:$S$10,$R$2:$R$10,E815)</f>
        <v>20</v>
      </c>
      <c r="I815" s="3">
        <f>SUMIFS($S$2:$S$10,$R$2:$R$10,F815)</f>
        <v>0</v>
      </c>
      <c r="J815" s="3">
        <f>SUM(G815:I815)</f>
        <v>47</v>
      </c>
      <c r="K815" s="3">
        <f>SUMIFS($T$2:$T$10,$R$2:$R$10,E815)</f>
        <v>0.37</v>
      </c>
      <c r="L815" s="3">
        <f>SUMIFS($V$2:$V$10,$R$2:$R$10,F815)</f>
        <v>0</v>
      </c>
      <c r="M815" s="3">
        <f>SUMIFS($U$2:$U$10,$R$2:$R$10,D815)</f>
        <v>0.13</v>
      </c>
    </row>
    <row r="816" spans="1:13" x14ac:dyDescent="0.25">
      <c r="A816" s="2">
        <f>(A$2+A$2*K816+A$2*M816)*(1+L816)</f>
        <v>724.23680000000002</v>
      </c>
      <c r="B816" s="2">
        <f>(B$2+B$2*K816+B$2*M816)*(1+L816)</f>
        <v>842.38560000000018</v>
      </c>
      <c r="C816" s="2">
        <f>(C$2+C$2*K816+C$2*M816)*(1+L816)</f>
        <v>885.3488000000001</v>
      </c>
      <c r="D816" s="2">
        <v>7</v>
      </c>
      <c r="E816" s="2">
        <v>4</v>
      </c>
      <c r="F816" s="2">
        <v>7</v>
      </c>
      <c r="G816" s="2">
        <f>SUMIFS($S$2:$S$10,$R$2:$R$10,D816)</f>
        <v>20</v>
      </c>
      <c r="H816" s="2">
        <f>SUMIFS($S$2:$S$10,$R$2:$R$10,E816)</f>
        <v>7</v>
      </c>
      <c r="I816" s="2">
        <f>SUMIFS($S$2:$S$10,$R$2:$R$10,F816)</f>
        <v>20</v>
      </c>
      <c r="J816" s="2">
        <f>SUM(G816:I816)</f>
        <v>47</v>
      </c>
      <c r="K816" s="2">
        <f>SUMIFS($U$2:$U$10,$R$2:$R$10,E816)</f>
        <v>0.05</v>
      </c>
      <c r="L816" s="2">
        <f>SUMIFS($T$2:$T$10,$R$2:$R$10,F816)</f>
        <v>0.37</v>
      </c>
      <c r="M816" s="2">
        <f>SUMIFS($V$2:$V$10,$R$2:$R$10,D816)</f>
        <v>7.0000000000000007E-2</v>
      </c>
    </row>
    <row r="817" spans="1:13" x14ac:dyDescent="0.25">
      <c r="A817" s="2">
        <f>(A$2+A$2*K817+A$2*M817)*(1+L817)</f>
        <v>679.49119999999994</v>
      </c>
      <c r="B817" s="2">
        <f>(B$2+B$2*K817+B$2*M817)*(1+L817)</f>
        <v>790.34039999999993</v>
      </c>
      <c r="C817" s="2">
        <f>(C$2+C$2*K817+C$2*M817)*(1+L817)</f>
        <v>830.64919999999995</v>
      </c>
      <c r="D817" s="2">
        <v>7</v>
      </c>
      <c r="E817" s="2">
        <v>7</v>
      </c>
      <c r="F817" s="2">
        <v>4</v>
      </c>
      <c r="G817" s="2">
        <f>SUMIFS($S$2:$S$10,$R$2:$R$10,D817)</f>
        <v>20</v>
      </c>
      <c r="H817" s="2">
        <f>SUMIFS($S$2:$S$10,$R$2:$R$10,E817)</f>
        <v>20</v>
      </c>
      <c r="I817" s="2">
        <f>SUMIFS($S$2:$S$10,$R$2:$R$10,F817)</f>
        <v>7</v>
      </c>
      <c r="J817" s="2">
        <f>SUM(G817:I817)</f>
        <v>47</v>
      </c>
      <c r="K817" s="2">
        <f>SUMIFS($U$2:$U$10,$R$2:$R$10,E817)</f>
        <v>0.11</v>
      </c>
      <c r="L817" s="2">
        <f>SUMIFS($T$2:$T$10,$R$2:$R$10,F817)</f>
        <v>0.22</v>
      </c>
      <c r="M817" s="2">
        <f>SUMIFS($V$2:$V$10,$R$2:$R$10,D817)</f>
        <v>7.0000000000000007E-2</v>
      </c>
    </row>
    <row r="818" spans="1:13" x14ac:dyDescent="0.25">
      <c r="A818" s="2">
        <f>(A$2+A$2*K818+A$2*M818)*(1+L818)</f>
        <v>698.37120000000004</v>
      </c>
      <c r="B818" s="2">
        <f>(B$2+B$2*K818+B$2*M818)*(1+L818)</f>
        <v>812.30039999999997</v>
      </c>
      <c r="C818" s="2">
        <f>(C$2+C$2*K818+C$2*M818)*(1+L818)</f>
        <v>853.72919999999999</v>
      </c>
      <c r="D818" s="2">
        <v>8</v>
      </c>
      <c r="E818" s="2">
        <v>0</v>
      </c>
      <c r="F818" s="2">
        <v>7</v>
      </c>
      <c r="G818" s="2">
        <f>SUMIFS($S$2:$S$10,$R$2:$R$10,D818)</f>
        <v>27</v>
      </c>
      <c r="H818" s="2">
        <f>SUMIFS($S$2:$S$10,$R$2:$R$10,E818)</f>
        <v>0</v>
      </c>
      <c r="I818" s="2">
        <f>SUMIFS($S$2:$S$10,$R$2:$R$10,F818)</f>
        <v>20</v>
      </c>
      <c r="J818" s="2">
        <f>SUM(G818:I818)</f>
        <v>47</v>
      </c>
      <c r="K818" s="2">
        <f>SUMIFS($U$2:$U$10,$R$2:$R$10,E818)</f>
        <v>0</v>
      </c>
      <c r="L818" s="2">
        <f>SUMIFS($T$2:$T$10,$R$2:$R$10,F818)</f>
        <v>0.37</v>
      </c>
      <c r="M818" s="2">
        <f>SUMIFS($V$2:$V$10,$R$2:$R$10,D818)</f>
        <v>0.08</v>
      </c>
    </row>
    <row r="819" spans="1:13" x14ac:dyDescent="0.25">
      <c r="A819" s="2">
        <f>(A$2+A$2*K819+A$2*M819)*(1+L819)</f>
        <v>689.35600000000011</v>
      </c>
      <c r="B819" s="2">
        <f>(B$2+B$2*K819+B$2*M819)*(1+L819)</f>
        <v>801.81450000000007</v>
      </c>
      <c r="C819" s="2">
        <f>(C$2+C$2*K819+C$2*M819)*(1+L819)</f>
        <v>842.70849999999996</v>
      </c>
      <c r="D819" s="2">
        <v>8</v>
      </c>
      <c r="E819" s="2">
        <v>5</v>
      </c>
      <c r="F819" s="2">
        <v>5</v>
      </c>
      <c r="G819" s="2">
        <f>SUMIFS($S$2:$S$10,$R$2:$R$10,D819)</f>
        <v>27</v>
      </c>
      <c r="H819" s="2">
        <f>SUMIFS($S$2:$S$10,$R$2:$R$10,E819)</f>
        <v>10</v>
      </c>
      <c r="I819" s="2">
        <f>SUMIFS($S$2:$S$10,$R$2:$R$10,F819)</f>
        <v>10</v>
      </c>
      <c r="J819" s="2">
        <f>SUM(G819:I819)</f>
        <v>47</v>
      </c>
      <c r="K819" s="2">
        <f>SUMIFS($U$2:$U$10,$R$2:$R$10,E819)</f>
        <v>7.0000000000000007E-2</v>
      </c>
      <c r="L819" s="2">
        <f>SUMIFS($T$2:$T$10,$R$2:$R$10,F819)</f>
        <v>0.27</v>
      </c>
      <c r="M819" s="2">
        <f>SUMIFS($V$2:$V$10,$R$2:$R$10,D819)</f>
        <v>0.08</v>
      </c>
    </row>
    <row r="820" spans="1:13" x14ac:dyDescent="0.25">
      <c r="A820" s="2">
        <f>(A$2+A$2*K820+A$2*M820)*(1+L820)</f>
        <v>561.67999999999995</v>
      </c>
      <c r="B820" s="2">
        <f>(B$2+B$2*K820+B$2*M820)*(1+L820)</f>
        <v>653.30999999999995</v>
      </c>
      <c r="C820" s="2">
        <f>(C$2+C$2*K820+C$2*M820)*(1+L820)</f>
        <v>686.63</v>
      </c>
      <c r="D820" s="2">
        <v>8</v>
      </c>
      <c r="E820" s="2">
        <v>7</v>
      </c>
      <c r="F820" s="2">
        <v>0</v>
      </c>
      <c r="G820" s="2">
        <f>SUMIFS($S$2:$S$10,$R$2:$R$10,D820)</f>
        <v>27</v>
      </c>
      <c r="H820" s="2">
        <f>SUMIFS($S$2:$S$10,$R$2:$R$10,E820)</f>
        <v>20</v>
      </c>
      <c r="I820" s="2">
        <f>SUMIFS($S$2:$S$10,$R$2:$R$10,F820)</f>
        <v>0</v>
      </c>
      <c r="J820" s="2">
        <f>SUM(G820:I820)</f>
        <v>47</v>
      </c>
      <c r="K820" s="2">
        <f>SUMIFS($U$2:$U$10,$R$2:$R$10,E820)</f>
        <v>0.11</v>
      </c>
      <c r="L820" s="2">
        <f>SUMIFS($T$2:$T$10,$R$2:$R$10,F820)</f>
        <v>0</v>
      </c>
      <c r="M820" s="2">
        <f>SUMIFS($V$2:$V$10,$R$2:$R$10,D820)</f>
        <v>0.08</v>
      </c>
    </row>
    <row r="821" spans="1:13" x14ac:dyDescent="0.25">
      <c r="A821" s="1">
        <f>(A$2+A$2*K821+A$2*L821)*(1+M821)</f>
        <v>728.95680000000004</v>
      </c>
      <c r="B821" s="1">
        <f>(B$2+B$2*K821+B$2*L821)*(1+M821)</f>
        <v>847.87560000000008</v>
      </c>
      <c r="C821" s="1">
        <f>(C$2+C$2*K821+C$2*L821)*(1+M821)</f>
        <v>891.11879999999996</v>
      </c>
      <c r="D821" s="1">
        <v>8</v>
      </c>
      <c r="E821" s="1">
        <v>1</v>
      </c>
      <c r="F821" s="1">
        <v>7</v>
      </c>
      <c r="G821" s="1">
        <f>SUMIFS($S$2:$S$10,$R$2:$R$10,D821)</f>
        <v>27</v>
      </c>
      <c r="H821" s="1">
        <f>SUMIFS($S$2:$S$10,$R$2:$R$10,E821)</f>
        <v>1</v>
      </c>
      <c r="I821" s="1">
        <f>SUMIFS($S$2:$S$10,$R$2:$R$10,F821)</f>
        <v>20</v>
      </c>
      <c r="J821" s="1">
        <f>SUM(G821:I821)</f>
        <v>48</v>
      </c>
      <c r="K821" s="1">
        <f>SUMIFS($U$2:$U$10,$R$2:$R$10,E821)</f>
        <v>0.01</v>
      </c>
      <c r="L821" s="1">
        <f>SUMIFS($V$2:$V$10,$R$2:$R$10,F821)</f>
        <v>7.0000000000000007E-2</v>
      </c>
      <c r="M821" s="1">
        <f>SUMIFS($T$2:$T$10,$R$2:$R$10,D821)</f>
        <v>0.43</v>
      </c>
    </row>
    <row r="822" spans="1:13" x14ac:dyDescent="0.25">
      <c r="A822" s="1">
        <f>(A$2+A$2*K822+A$2*L822)*(1+M822)</f>
        <v>755.95519999999999</v>
      </c>
      <c r="B822" s="1">
        <f>(B$2+B$2*K822+B$2*L822)*(1+M822)</f>
        <v>879.27839999999992</v>
      </c>
      <c r="C822" s="1">
        <f>(C$2+C$2*K822+C$2*L822)*(1+M822)</f>
        <v>924.1232</v>
      </c>
      <c r="D822" s="1">
        <v>8</v>
      </c>
      <c r="E822" s="1">
        <v>7</v>
      </c>
      <c r="F822" s="1">
        <v>1</v>
      </c>
      <c r="G822" s="1">
        <f>SUMIFS($S$2:$S$10,$R$2:$R$10,D822)</f>
        <v>27</v>
      </c>
      <c r="H822" s="1">
        <f>SUMIFS($S$2:$S$10,$R$2:$R$10,E822)</f>
        <v>20</v>
      </c>
      <c r="I822" s="1">
        <f>SUMIFS($S$2:$S$10,$R$2:$R$10,F822)</f>
        <v>1</v>
      </c>
      <c r="J822" s="1">
        <f>SUM(G822:I822)</f>
        <v>48</v>
      </c>
      <c r="K822" s="1">
        <f>SUMIFS($U$2:$U$10,$R$2:$R$10,E822)</f>
        <v>0.11</v>
      </c>
      <c r="L822" s="1">
        <f>SUMIFS($V$2:$V$10,$R$2:$R$10,F822)</f>
        <v>0.01</v>
      </c>
      <c r="M822" s="1">
        <f>SUMIFS($T$2:$T$10,$R$2:$R$10,D822)</f>
        <v>0.43</v>
      </c>
    </row>
    <row r="823" spans="1:13" x14ac:dyDescent="0.25">
      <c r="A823" s="1">
        <f>(A$2+A$2*K823+A$2*L823)*(1+M823)</f>
        <v>759.54240000000004</v>
      </c>
      <c r="B823" s="1">
        <f>(B$2+B$2*K823+B$2*L823)*(1+M823)</f>
        <v>883.45080000000007</v>
      </c>
      <c r="C823" s="1">
        <f>(C$2+C$2*K823+C$2*L823)*(1+M823)</f>
        <v>928.50839999999994</v>
      </c>
      <c r="D823" s="1">
        <v>9</v>
      </c>
      <c r="E823" s="1">
        <v>3</v>
      </c>
      <c r="F823" s="1">
        <v>5</v>
      </c>
      <c r="G823" s="1">
        <f>SUMIFS($S$2:$S$10,$R$2:$R$10,D823)</f>
        <v>34</v>
      </c>
      <c r="H823" s="1">
        <f>SUMIFS($S$2:$S$10,$R$2:$R$10,E823)</f>
        <v>4</v>
      </c>
      <c r="I823" s="1">
        <f>SUMIFS($S$2:$S$10,$R$2:$R$10,F823)</f>
        <v>10</v>
      </c>
      <c r="J823" s="1">
        <f>SUM(G823:I823)</f>
        <v>48</v>
      </c>
      <c r="K823" s="1">
        <f>SUMIFS($U$2:$U$10,$R$2:$R$10,E823)</f>
        <v>0.03</v>
      </c>
      <c r="L823" s="1">
        <f>SUMIFS($V$2:$V$10,$R$2:$R$10,F823)</f>
        <v>0.05</v>
      </c>
      <c r="M823" s="1">
        <f>SUMIFS($T$2:$T$10,$R$2:$R$10,D823)</f>
        <v>0.49</v>
      </c>
    </row>
    <row r="824" spans="1:13" x14ac:dyDescent="0.25">
      <c r="A824" s="1">
        <f>(A$2+A$2*K824+A$2*L824)*(1+M824)</f>
        <v>766.5752</v>
      </c>
      <c r="B824" s="1">
        <f>(B$2+B$2*K824+B$2*L824)*(1+M824)</f>
        <v>891.63090000000011</v>
      </c>
      <c r="C824" s="1">
        <f>(C$2+C$2*K824+C$2*L824)*(1+M824)</f>
        <v>937.10570000000007</v>
      </c>
      <c r="D824" s="1">
        <v>9</v>
      </c>
      <c r="E824" s="1">
        <v>4</v>
      </c>
      <c r="F824" s="1">
        <v>4</v>
      </c>
      <c r="G824" s="1">
        <f>SUMIFS($S$2:$S$10,$R$2:$R$10,D824)</f>
        <v>34</v>
      </c>
      <c r="H824" s="1">
        <f>SUMIFS($S$2:$S$10,$R$2:$R$10,E824)</f>
        <v>7</v>
      </c>
      <c r="I824" s="1">
        <f>SUMIFS($S$2:$S$10,$R$2:$R$10,F824)</f>
        <v>7</v>
      </c>
      <c r="J824" s="1">
        <f>SUM(G824:I824)</f>
        <v>48</v>
      </c>
      <c r="K824" s="1">
        <f>SUMIFS($U$2:$U$10,$R$2:$R$10,E824)</f>
        <v>0.05</v>
      </c>
      <c r="L824" s="1">
        <f>SUMIFS($V$2:$V$10,$R$2:$R$10,F824)</f>
        <v>0.04</v>
      </c>
      <c r="M824" s="1">
        <f>SUMIFS($T$2:$T$10,$R$2:$R$10,D824)</f>
        <v>0.49</v>
      </c>
    </row>
    <row r="825" spans="1:13" x14ac:dyDescent="0.25">
      <c r="A825" s="1">
        <f>(A$2+A$2*K825+A$2*L825)*(1+M825)</f>
        <v>773.60800000000006</v>
      </c>
      <c r="B825" s="1">
        <f>(B$2+B$2*K825+B$2*L825)*(1+M825)</f>
        <v>899.81100000000015</v>
      </c>
      <c r="C825" s="1">
        <f>(C$2+C$2*K825+C$2*L825)*(1+M825)</f>
        <v>945.70299999999986</v>
      </c>
      <c r="D825" s="1">
        <v>9</v>
      </c>
      <c r="E825" s="1">
        <v>5</v>
      </c>
      <c r="F825" s="1">
        <v>3</v>
      </c>
      <c r="G825" s="1">
        <f>SUMIFS($S$2:$S$10,$R$2:$R$10,D825)</f>
        <v>34</v>
      </c>
      <c r="H825" s="1">
        <f>SUMIFS($S$2:$S$10,$R$2:$R$10,E825)</f>
        <v>10</v>
      </c>
      <c r="I825" s="1">
        <f>SUMIFS($S$2:$S$10,$R$2:$R$10,F825)</f>
        <v>4</v>
      </c>
      <c r="J825" s="1">
        <f>SUM(G825:I825)</f>
        <v>48</v>
      </c>
      <c r="K825" s="1">
        <f>SUMIFS($U$2:$U$10,$R$2:$R$10,E825)</f>
        <v>7.0000000000000007E-2</v>
      </c>
      <c r="L825" s="1">
        <f>SUMIFS($V$2:$V$10,$R$2:$R$10,F825)</f>
        <v>0.03</v>
      </c>
      <c r="M825" s="1">
        <f>SUMIFS($T$2:$T$10,$R$2:$R$10,D825)</f>
        <v>0.49</v>
      </c>
    </row>
    <row r="826" spans="1:13" x14ac:dyDescent="0.25">
      <c r="A826" s="3">
        <f>(A$2+A$2*M826+A$2*L826)*(1+K826)</f>
        <v>640.03199999999993</v>
      </c>
      <c r="B826" s="3">
        <f>(B$2+B$2*M826+B$2*L826)*(1+K826)</f>
        <v>744.44399999999985</v>
      </c>
      <c r="C826" s="3">
        <f>(C$2+C$2*M826+C$2*L826)*(1+K826)</f>
        <v>782.41199999999992</v>
      </c>
      <c r="D826" s="3">
        <v>8</v>
      </c>
      <c r="E826" s="3">
        <v>1</v>
      </c>
      <c r="F826" s="3">
        <v>7</v>
      </c>
      <c r="G826" s="3">
        <f>SUMIFS($S$2:$S$10,$R$2:$R$10,D826)</f>
        <v>27</v>
      </c>
      <c r="H826" s="3">
        <f>SUMIFS($S$2:$S$10,$R$2:$R$10,E826)</f>
        <v>1</v>
      </c>
      <c r="I826" s="3">
        <f>SUMIFS($S$2:$S$10,$R$2:$R$10,F826)</f>
        <v>20</v>
      </c>
      <c r="J826" s="3">
        <f>SUM(G826:I826)</f>
        <v>48</v>
      </c>
      <c r="K826" s="3">
        <f>SUMIFS($T$2:$T$10,$R$2:$R$10,E826)</f>
        <v>0.13</v>
      </c>
      <c r="L826" s="3">
        <f>SUMIFS($V$2:$V$10,$R$2:$R$10,F826)</f>
        <v>7.0000000000000007E-2</v>
      </c>
      <c r="M826" s="3">
        <f>SUMIFS($U$2:$U$10,$R$2:$R$10,D826)</f>
        <v>0.13</v>
      </c>
    </row>
    <row r="827" spans="1:13" x14ac:dyDescent="0.25">
      <c r="A827" s="3">
        <f>(A$2+A$2*M827+A$2*L827)*(1+K827)</f>
        <v>737.16960000000006</v>
      </c>
      <c r="B827" s="3">
        <f>(B$2+B$2*M827+B$2*L827)*(1+K827)</f>
        <v>857.42820000000006</v>
      </c>
      <c r="C827" s="3">
        <f>(C$2+C$2*M827+C$2*L827)*(1+K827)</f>
        <v>901.15859999999998</v>
      </c>
      <c r="D827" s="3">
        <v>8</v>
      </c>
      <c r="E827" s="3">
        <v>7</v>
      </c>
      <c r="F827" s="3">
        <v>1</v>
      </c>
      <c r="G827" s="3">
        <f>SUMIFS($S$2:$S$10,$R$2:$R$10,D827)</f>
        <v>27</v>
      </c>
      <c r="H827" s="3">
        <f>SUMIFS($S$2:$S$10,$R$2:$R$10,E827)</f>
        <v>20</v>
      </c>
      <c r="I827" s="3">
        <f>SUMIFS($S$2:$S$10,$R$2:$R$10,F827)</f>
        <v>1</v>
      </c>
      <c r="J827" s="3">
        <f>SUM(G827:I827)</f>
        <v>48</v>
      </c>
      <c r="K827" s="3">
        <f>SUMIFS($T$2:$T$10,$R$2:$R$10,E827)</f>
        <v>0.37</v>
      </c>
      <c r="L827" s="3">
        <f>SUMIFS($V$2:$V$10,$R$2:$R$10,F827)</f>
        <v>0.01</v>
      </c>
      <c r="M827" s="3">
        <f>SUMIFS($U$2:$U$10,$R$2:$R$10,D827)</f>
        <v>0.13</v>
      </c>
    </row>
    <row r="828" spans="1:13" x14ac:dyDescent="0.25">
      <c r="A828" s="3">
        <f>(A$2+A$2*M828+A$2*L828)*(1+K828)</f>
        <v>674.01599999999996</v>
      </c>
      <c r="B828" s="3">
        <f>(B$2+B$2*M828+B$2*L828)*(1+K828)</f>
        <v>783.97200000000009</v>
      </c>
      <c r="C828" s="3">
        <f>(C$2+C$2*M828+C$2*L828)*(1+K828)</f>
        <v>823.9559999999999</v>
      </c>
      <c r="D828" s="3">
        <v>9</v>
      </c>
      <c r="E828" s="3">
        <v>3</v>
      </c>
      <c r="F828" s="3">
        <v>5</v>
      </c>
      <c r="G828" s="3">
        <f>SUMIFS($S$2:$S$10,$R$2:$R$10,D828)</f>
        <v>34</v>
      </c>
      <c r="H828" s="3">
        <f>SUMIFS($S$2:$S$10,$R$2:$R$10,E828)</f>
        <v>4</v>
      </c>
      <c r="I828" s="3">
        <f>SUMIFS($S$2:$S$10,$R$2:$R$10,F828)</f>
        <v>10</v>
      </c>
      <c r="J828" s="3">
        <f>SUM(G828:I828)</f>
        <v>48</v>
      </c>
      <c r="K828" s="3">
        <f>SUMIFS($T$2:$T$10,$R$2:$R$10,E828)</f>
        <v>0.19</v>
      </c>
      <c r="L828" s="3">
        <f>SUMIFS($V$2:$V$10,$R$2:$R$10,F828)</f>
        <v>0.05</v>
      </c>
      <c r="M828" s="3">
        <f>SUMIFS($U$2:$U$10,$R$2:$R$10,D828)</f>
        <v>0.15</v>
      </c>
    </row>
    <row r="829" spans="1:13" x14ac:dyDescent="0.25">
      <c r="A829" s="3">
        <f>(A$2+A$2*M829+A$2*L829)*(1+K829)</f>
        <v>685.24959999999987</v>
      </c>
      <c r="B829" s="3">
        <f>(B$2+B$2*M829+B$2*L829)*(1+K829)</f>
        <v>797.03820000000007</v>
      </c>
      <c r="C829" s="3">
        <f>(C$2+C$2*M829+C$2*L829)*(1+K829)</f>
        <v>837.68859999999995</v>
      </c>
      <c r="D829" s="3">
        <v>9</v>
      </c>
      <c r="E829" s="3">
        <v>4</v>
      </c>
      <c r="F829" s="3">
        <v>4</v>
      </c>
      <c r="G829" s="3">
        <f>SUMIFS($S$2:$S$10,$R$2:$R$10,D829)</f>
        <v>34</v>
      </c>
      <c r="H829" s="3">
        <f>SUMIFS($S$2:$S$10,$R$2:$R$10,E829)</f>
        <v>7</v>
      </c>
      <c r="I829" s="3">
        <f>SUMIFS($S$2:$S$10,$R$2:$R$10,F829)</f>
        <v>7</v>
      </c>
      <c r="J829" s="3">
        <f>SUM(G829:I829)</f>
        <v>48</v>
      </c>
      <c r="K829" s="3">
        <f>SUMIFS($T$2:$T$10,$R$2:$R$10,E829)</f>
        <v>0.22</v>
      </c>
      <c r="L829" s="3">
        <f>SUMIFS($V$2:$V$10,$R$2:$R$10,F829)</f>
        <v>0.04</v>
      </c>
      <c r="M829" s="3">
        <f>SUMIFS($U$2:$U$10,$R$2:$R$10,D829)</f>
        <v>0.15</v>
      </c>
    </row>
    <row r="830" spans="1:13" x14ac:dyDescent="0.25">
      <c r="A830" s="3">
        <f>(A$2+A$2*M830+A$2*L830)*(1+K830)</f>
        <v>707.33919999999989</v>
      </c>
      <c r="B830" s="3">
        <f>(B$2+B$2*M830+B$2*L830)*(1+K830)</f>
        <v>822.73140000000012</v>
      </c>
      <c r="C830" s="3">
        <f>(C$2+C$2*M830+C$2*L830)*(1+K830)</f>
        <v>864.69219999999984</v>
      </c>
      <c r="D830" s="3">
        <v>9</v>
      </c>
      <c r="E830" s="3">
        <v>5</v>
      </c>
      <c r="F830" s="3">
        <v>3</v>
      </c>
      <c r="G830" s="3">
        <f>SUMIFS($S$2:$S$10,$R$2:$R$10,D830)</f>
        <v>34</v>
      </c>
      <c r="H830" s="3">
        <f>SUMIFS($S$2:$S$10,$R$2:$R$10,E830)</f>
        <v>10</v>
      </c>
      <c r="I830" s="3">
        <f>SUMIFS($S$2:$S$10,$R$2:$R$10,F830)</f>
        <v>4</v>
      </c>
      <c r="J830" s="3">
        <f>SUM(G830:I830)</f>
        <v>48</v>
      </c>
      <c r="K830" s="3">
        <f>SUMIFS($T$2:$T$10,$R$2:$R$10,E830)</f>
        <v>0.27</v>
      </c>
      <c r="L830" s="3">
        <f>SUMIFS($V$2:$V$10,$R$2:$R$10,F830)</f>
        <v>0.03</v>
      </c>
      <c r="M830" s="3">
        <f>SUMIFS($U$2:$U$10,$R$2:$R$10,D830)</f>
        <v>0.15</v>
      </c>
    </row>
    <row r="831" spans="1:13" x14ac:dyDescent="0.25">
      <c r="A831" s="2">
        <f>(A$2+A$2*K831+A$2*M831)*(1+L831)</f>
        <v>704.83760000000007</v>
      </c>
      <c r="B831" s="2">
        <f>(B$2+B$2*K831+B$2*M831)*(1+L831)</f>
        <v>819.82169999999996</v>
      </c>
      <c r="C831" s="2">
        <f>(C$2+C$2*K831+C$2*M831)*(1+L831)</f>
        <v>861.63409999999999</v>
      </c>
      <c r="D831" s="2">
        <v>8</v>
      </c>
      <c r="E831" s="2">
        <v>1</v>
      </c>
      <c r="F831" s="2">
        <v>7</v>
      </c>
      <c r="G831" s="2">
        <f>SUMIFS($S$2:$S$10,$R$2:$R$10,D831)</f>
        <v>27</v>
      </c>
      <c r="H831" s="2">
        <f>SUMIFS($S$2:$S$10,$R$2:$R$10,E831)</f>
        <v>1</v>
      </c>
      <c r="I831" s="2">
        <f>SUMIFS($S$2:$S$10,$R$2:$R$10,F831)</f>
        <v>20</v>
      </c>
      <c r="J831" s="2">
        <f>SUM(G831:I831)</f>
        <v>48</v>
      </c>
      <c r="K831" s="2">
        <f>SUMIFS($U$2:$U$10,$R$2:$R$10,E831)</f>
        <v>0.01</v>
      </c>
      <c r="L831" s="2">
        <f>SUMIFS($T$2:$T$10,$R$2:$R$10,F831)</f>
        <v>0.37</v>
      </c>
      <c r="M831" s="2">
        <f>SUMIFS($V$2:$V$10,$R$2:$R$10,D831)</f>
        <v>0.08</v>
      </c>
    </row>
    <row r="832" spans="1:13" x14ac:dyDescent="0.25">
      <c r="A832" s="2">
        <f>(A$2+A$2*K832+A$2*M832)*(1+L832)</f>
        <v>634.69839999999988</v>
      </c>
      <c r="B832" s="2">
        <f>(B$2+B$2*K832+B$2*M832)*(1+L832)</f>
        <v>738.24029999999982</v>
      </c>
      <c r="C832" s="2">
        <f>(C$2+C$2*K832+C$2*M832)*(1+L832)</f>
        <v>775.89189999999996</v>
      </c>
      <c r="D832" s="2">
        <v>8</v>
      </c>
      <c r="E832" s="2">
        <v>7</v>
      </c>
      <c r="F832" s="2">
        <v>1</v>
      </c>
      <c r="G832" s="2">
        <f>SUMIFS($S$2:$S$10,$R$2:$R$10,D832)</f>
        <v>27</v>
      </c>
      <c r="H832" s="2">
        <f>SUMIFS($S$2:$S$10,$R$2:$R$10,E832)</f>
        <v>20</v>
      </c>
      <c r="I832" s="2">
        <f>SUMIFS($S$2:$S$10,$R$2:$R$10,F832)</f>
        <v>1</v>
      </c>
      <c r="J832" s="2">
        <f>SUM(G832:I832)</f>
        <v>48</v>
      </c>
      <c r="K832" s="2">
        <f>SUMIFS($U$2:$U$10,$R$2:$R$10,E832)</f>
        <v>0.11</v>
      </c>
      <c r="L832" s="2">
        <f>SUMIFS($T$2:$T$10,$R$2:$R$10,F832)</f>
        <v>0.13</v>
      </c>
      <c r="M832" s="2">
        <f>SUMIFS($V$2:$V$10,$R$2:$R$10,D832)</f>
        <v>0.08</v>
      </c>
    </row>
    <row r="833" spans="1:13" x14ac:dyDescent="0.25">
      <c r="A833" s="2">
        <f>(A$2+A$2*K833+A$2*M833)*(1+L833)</f>
        <v>671.37279999999998</v>
      </c>
      <c r="B833" s="2">
        <f>(B$2+B$2*K833+B$2*M833)*(1+L833)</f>
        <v>780.89760000000001</v>
      </c>
      <c r="C833" s="2">
        <f>(C$2+C$2*K833+C$2*M833)*(1+L833)</f>
        <v>820.72479999999985</v>
      </c>
      <c r="D833" s="2">
        <v>9</v>
      </c>
      <c r="E833" s="2">
        <v>3</v>
      </c>
      <c r="F833" s="2">
        <v>5</v>
      </c>
      <c r="G833" s="2">
        <f>SUMIFS($S$2:$S$10,$R$2:$R$10,D833)</f>
        <v>34</v>
      </c>
      <c r="H833" s="2">
        <f>SUMIFS($S$2:$S$10,$R$2:$R$10,E833)</f>
        <v>4</v>
      </c>
      <c r="I833" s="2">
        <f>SUMIFS($S$2:$S$10,$R$2:$R$10,F833)</f>
        <v>10</v>
      </c>
      <c r="J833" s="2">
        <f>SUM(G833:I833)</f>
        <v>48</v>
      </c>
      <c r="K833" s="2">
        <f>SUMIFS($U$2:$U$10,$R$2:$R$10,E833)</f>
        <v>0.03</v>
      </c>
      <c r="L833" s="2">
        <f>SUMIFS($T$2:$T$10,$R$2:$R$10,F833)</f>
        <v>0.27</v>
      </c>
      <c r="M833" s="2">
        <f>SUMIFS($V$2:$V$10,$R$2:$R$10,D833)</f>
        <v>0.09</v>
      </c>
    </row>
    <row r="834" spans="1:13" x14ac:dyDescent="0.25">
      <c r="A834" s="2">
        <f>(A$2+A$2*K834+A$2*M834)*(1+L834)</f>
        <v>656.45760000000007</v>
      </c>
      <c r="B834" s="2">
        <f>(B$2+B$2*K834+B$2*M834)*(1+L834)</f>
        <v>763.54920000000004</v>
      </c>
      <c r="C834" s="2">
        <f>(C$2+C$2*K834+C$2*M834)*(1+L834)</f>
        <v>802.49159999999995</v>
      </c>
      <c r="D834" s="2">
        <v>9</v>
      </c>
      <c r="E834" s="2">
        <v>4</v>
      </c>
      <c r="F834" s="2">
        <v>4</v>
      </c>
      <c r="G834" s="2">
        <f>SUMIFS($S$2:$S$10,$R$2:$R$10,D834)</f>
        <v>34</v>
      </c>
      <c r="H834" s="2">
        <f>SUMIFS($S$2:$S$10,$R$2:$R$10,E834)</f>
        <v>7</v>
      </c>
      <c r="I834" s="2">
        <f>SUMIFS($S$2:$S$10,$R$2:$R$10,F834)</f>
        <v>7</v>
      </c>
      <c r="J834" s="2">
        <f>SUM(G834:I834)</f>
        <v>48</v>
      </c>
      <c r="K834" s="2">
        <f>SUMIFS($U$2:$U$10,$R$2:$R$10,E834)</f>
        <v>0.05</v>
      </c>
      <c r="L834" s="2">
        <f>SUMIFS($T$2:$T$10,$R$2:$R$10,F834)</f>
        <v>0.22</v>
      </c>
      <c r="M834" s="2">
        <f>SUMIFS($V$2:$V$10,$R$2:$R$10,D834)</f>
        <v>0.09</v>
      </c>
    </row>
    <row r="835" spans="1:13" x14ac:dyDescent="0.25">
      <c r="A835" s="2">
        <f>(A$2+A$2*K835+A$2*M835)*(1+L835)</f>
        <v>651.54879999999991</v>
      </c>
      <c r="B835" s="2">
        <f>(B$2+B$2*K835+B$2*M835)*(1+L835)</f>
        <v>757.83960000000002</v>
      </c>
      <c r="C835" s="2">
        <f>(C$2+C$2*K835+C$2*M835)*(1+L835)</f>
        <v>796.49079999999992</v>
      </c>
      <c r="D835" s="2">
        <v>9</v>
      </c>
      <c r="E835" s="2">
        <v>5</v>
      </c>
      <c r="F835" s="2">
        <v>3</v>
      </c>
      <c r="G835" s="2">
        <f>SUMIFS($S$2:$S$10,$R$2:$R$10,D835)</f>
        <v>34</v>
      </c>
      <c r="H835" s="2">
        <f>SUMIFS($S$2:$S$10,$R$2:$R$10,E835)</f>
        <v>10</v>
      </c>
      <c r="I835" s="2">
        <f>SUMIFS($S$2:$S$10,$R$2:$R$10,F835)</f>
        <v>4</v>
      </c>
      <c r="J835" s="2">
        <f>SUM(G835:I835)</f>
        <v>48</v>
      </c>
      <c r="K835" s="2">
        <f>SUMIFS($U$2:$U$10,$R$2:$R$10,E835)</f>
        <v>7.0000000000000007E-2</v>
      </c>
      <c r="L835" s="2">
        <f>SUMIFS($T$2:$T$10,$R$2:$R$10,F835)</f>
        <v>0.19</v>
      </c>
      <c r="M835" s="2">
        <f>SUMIFS($V$2:$V$10,$R$2:$R$10,D835)</f>
        <v>0.09</v>
      </c>
    </row>
    <row r="836" spans="1:13" x14ac:dyDescent="0.25">
      <c r="A836" s="1">
        <f>(A$2+A$2*K836+A$2*L836)*(1+M836)</f>
        <v>735.70640000000003</v>
      </c>
      <c r="B836" s="1">
        <f>(B$2+B$2*K836+B$2*L836)*(1+M836)</f>
        <v>855.72630000000004</v>
      </c>
      <c r="C836" s="1">
        <f>(C$2+C$2*K836+C$2*L836)*(1+M836)</f>
        <v>899.36989999999992</v>
      </c>
      <c r="D836" s="1">
        <v>8</v>
      </c>
      <c r="E836" s="1">
        <v>2</v>
      </c>
      <c r="F836" s="1">
        <v>7</v>
      </c>
      <c r="G836" s="1">
        <f>SUMIFS($S$2:$S$10,$R$2:$R$10,D836)</f>
        <v>27</v>
      </c>
      <c r="H836" s="1">
        <f>SUMIFS($S$2:$S$10,$R$2:$R$10,E836)</f>
        <v>2</v>
      </c>
      <c r="I836" s="1">
        <f>SUMIFS($S$2:$S$10,$R$2:$R$10,F836)</f>
        <v>20</v>
      </c>
      <c r="J836" s="1">
        <f>SUM(G836:I836)</f>
        <v>49</v>
      </c>
      <c r="K836" s="1">
        <f>SUMIFS($U$2:$U$10,$R$2:$R$10,E836)</f>
        <v>0.02</v>
      </c>
      <c r="L836" s="1">
        <f>SUMIFS($V$2:$V$10,$R$2:$R$10,F836)</f>
        <v>7.0000000000000007E-2</v>
      </c>
      <c r="M836" s="1">
        <f>SUMIFS($T$2:$T$10,$R$2:$R$10,D836)</f>
        <v>0.43</v>
      </c>
    </row>
    <row r="837" spans="1:13" x14ac:dyDescent="0.25">
      <c r="A837" s="1">
        <f>(A$2+A$2*K837+A$2*L837)*(1+M837)</f>
        <v>749.20560000000012</v>
      </c>
      <c r="B837" s="1">
        <f>(B$2+B$2*K837+B$2*L837)*(1+M837)</f>
        <v>871.42770000000007</v>
      </c>
      <c r="C837" s="1">
        <f>(C$2+C$2*K837+C$2*L837)*(1+M837)</f>
        <v>915.87210000000005</v>
      </c>
      <c r="D837" s="1">
        <v>8</v>
      </c>
      <c r="E837" s="1">
        <v>4</v>
      </c>
      <c r="F837" s="1">
        <v>6</v>
      </c>
      <c r="G837" s="1">
        <f>SUMIFS($S$2:$S$10,$R$2:$R$10,D837)</f>
        <v>27</v>
      </c>
      <c r="H837" s="1">
        <f>SUMIFS($S$2:$S$10,$R$2:$R$10,E837)</f>
        <v>7</v>
      </c>
      <c r="I837" s="1">
        <f>SUMIFS($S$2:$S$10,$R$2:$R$10,F837)</f>
        <v>15</v>
      </c>
      <c r="J837" s="1">
        <f>SUM(G837:I837)</f>
        <v>49</v>
      </c>
      <c r="K837" s="1">
        <f>SUMIFS($U$2:$U$10,$R$2:$R$10,E837)</f>
        <v>0.05</v>
      </c>
      <c r="L837" s="1">
        <f>SUMIFS($V$2:$V$10,$R$2:$R$10,F837)</f>
        <v>0.06</v>
      </c>
      <c r="M837" s="1">
        <f>SUMIFS($T$2:$T$10,$R$2:$R$10,D837)</f>
        <v>0.43</v>
      </c>
    </row>
    <row r="838" spans="1:13" x14ac:dyDescent="0.25">
      <c r="A838" s="1">
        <f>(A$2+A$2*K838+A$2*L838)*(1+M838)</f>
        <v>762.70479999999998</v>
      </c>
      <c r="B838" s="1">
        <f>(B$2+B$2*K838+B$2*L838)*(1+M838)</f>
        <v>887.12909999999999</v>
      </c>
      <c r="C838" s="1">
        <f>(C$2+C$2*K838+C$2*L838)*(1+M838)</f>
        <v>932.37429999999995</v>
      </c>
      <c r="D838" s="1">
        <v>8</v>
      </c>
      <c r="E838" s="1">
        <v>6</v>
      </c>
      <c r="F838" s="1">
        <v>4</v>
      </c>
      <c r="G838" s="1">
        <f>SUMIFS($S$2:$S$10,$R$2:$R$10,D838)</f>
        <v>27</v>
      </c>
      <c r="H838" s="1">
        <f>SUMIFS($S$2:$S$10,$R$2:$R$10,E838)</f>
        <v>15</v>
      </c>
      <c r="I838" s="1">
        <f>SUMIFS($S$2:$S$10,$R$2:$R$10,F838)</f>
        <v>7</v>
      </c>
      <c r="J838" s="1">
        <f>SUM(G838:I838)</f>
        <v>49</v>
      </c>
      <c r="K838" s="1">
        <f>SUMIFS($U$2:$U$10,$R$2:$R$10,E838)</f>
        <v>0.09</v>
      </c>
      <c r="L838" s="1">
        <f>SUMIFS($V$2:$V$10,$R$2:$R$10,F838)</f>
        <v>0.04</v>
      </c>
      <c r="M838" s="1">
        <f>SUMIFS($T$2:$T$10,$R$2:$R$10,D838)</f>
        <v>0.43</v>
      </c>
    </row>
    <row r="839" spans="1:13" x14ac:dyDescent="0.25">
      <c r="A839" s="1">
        <f>(A$2+A$2*K839+A$2*L839)*(1+M839)</f>
        <v>762.70479999999998</v>
      </c>
      <c r="B839" s="1">
        <f>(B$2+B$2*K839+B$2*L839)*(1+M839)</f>
        <v>887.12909999999999</v>
      </c>
      <c r="C839" s="1">
        <f>(C$2+C$2*K839+C$2*L839)*(1+M839)</f>
        <v>932.37429999999995</v>
      </c>
      <c r="D839" s="1">
        <v>8</v>
      </c>
      <c r="E839" s="1">
        <v>7</v>
      </c>
      <c r="F839" s="1">
        <v>2</v>
      </c>
      <c r="G839" s="1">
        <f>SUMIFS($S$2:$S$10,$R$2:$R$10,D839)</f>
        <v>27</v>
      </c>
      <c r="H839" s="1">
        <f>SUMIFS($S$2:$S$10,$R$2:$R$10,E839)</f>
        <v>20</v>
      </c>
      <c r="I839" s="1">
        <f>SUMIFS($S$2:$S$10,$R$2:$R$10,F839)</f>
        <v>2</v>
      </c>
      <c r="J839" s="1">
        <f>SUM(G839:I839)</f>
        <v>49</v>
      </c>
      <c r="K839" s="1">
        <f>SUMIFS($U$2:$U$10,$R$2:$R$10,E839)</f>
        <v>0.11</v>
      </c>
      <c r="L839" s="1">
        <f>SUMIFS($V$2:$V$10,$R$2:$R$10,F839)</f>
        <v>0.02</v>
      </c>
      <c r="M839" s="1">
        <f>SUMIFS($T$2:$T$10,$R$2:$R$10,D839)</f>
        <v>0.43</v>
      </c>
    </row>
    <row r="840" spans="1:13" x14ac:dyDescent="0.25">
      <c r="A840" s="1">
        <f>(A$2+A$2*K840+A$2*L840)*(1+M840)</f>
        <v>745.47680000000003</v>
      </c>
      <c r="B840" s="1">
        <f>(B$2+B$2*K840+B$2*L840)*(1+M840)</f>
        <v>867.09060000000011</v>
      </c>
      <c r="C840" s="1">
        <f>(C$2+C$2*K840+C$2*L840)*(1+M840)</f>
        <v>911.31380000000001</v>
      </c>
      <c r="D840" s="1">
        <v>9</v>
      </c>
      <c r="E840" s="1">
        <v>0</v>
      </c>
      <c r="F840" s="1">
        <v>6</v>
      </c>
      <c r="G840" s="1">
        <f>SUMIFS($S$2:$S$10,$R$2:$R$10,D840)</f>
        <v>34</v>
      </c>
      <c r="H840" s="1">
        <f>SUMIFS($S$2:$S$10,$R$2:$R$10,E840)</f>
        <v>0</v>
      </c>
      <c r="I840" s="1">
        <f>SUMIFS($S$2:$S$10,$R$2:$R$10,F840)</f>
        <v>15</v>
      </c>
      <c r="J840" s="1">
        <f>SUM(G840:I840)</f>
        <v>49</v>
      </c>
      <c r="K840" s="1">
        <f>SUMIFS($U$2:$U$10,$R$2:$R$10,E840)</f>
        <v>0</v>
      </c>
      <c r="L840" s="1">
        <f>SUMIFS($V$2:$V$10,$R$2:$R$10,F840)</f>
        <v>0.06</v>
      </c>
      <c r="M840" s="1">
        <f>SUMIFS($T$2:$T$10,$R$2:$R$10,D840)</f>
        <v>0.49</v>
      </c>
    </row>
    <row r="841" spans="1:13" x14ac:dyDescent="0.25">
      <c r="A841" s="1">
        <f>(A$2+A$2*K841+A$2*L841)*(1+M841)</f>
        <v>766.5752</v>
      </c>
      <c r="B841" s="1">
        <f>(B$2+B$2*K841+B$2*L841)*(1+M841)</f>
        <v>891.6309</v>
      </c>
      <c r="C841" s="1">
        <f>(C$2+C$2*K841+C$2*L841)*(1+M841)</f>
        <v>937.10569999999996</v>
      </c>
      <c r="D841" s="1">
        <v>9</v>
      </c>
      <c r="E841" s="1">
        <v>6</v>
      </c>
      <c r="F841" s="1">
        <v>0</v>
      </c>
      <c r="G841" s="1">
        <f>SUMIFS($S$2:$S$10,$R$2:$R$10,D841)</f>
        <v>34</v>
      </c>
      <c r="H841" s="1">
        <f>SUMIFS($S$2:$S$10,$R$2:$R$10,E841)</f>
        <v>15</v>
      </c>
      <c r="I841" s="1">
        <f>SUMIFS($S$2:$S$10,$R$2:$R$10,F841)</f>
        <v>0</v>
      </c>
      <c r="J841" s="1">
        <f>SUM(G841:I841)</f>
        <v>49</v>
      </c>
      <c r="K841" s="1">
        <f>SUMIFS($U$2:$U$10,$R$2:$R$10,E841)</f>
        <v>0.09</v>
      </c>
      <c r="L841" s="1">
        <f>SUMIFS($V$2:$V$10,$R$2:$R$10,F841)</f>
        <v>0</v>
      </c>
      <c r="M841" s="1">
        <f>SUMIFS($T$2:$T$10,$R$2:$R$10,D841)</f>
        <v>0.49</v>
      </c>
    </row>
    <row r="842" spans="1:13" x14ac:dyDescent="0.25">
      <c r="A842" s="3">
        <f>(A$2+A$2*M842+A$2*L842)*(1+K842)</f>
        <v>657.02399999999989</v>
      </c>
      <c r="B842" s="3">
        <f>(B$2+B$2*M842+B$2*L842)*(1+K842)</f>
        <v>764.20799999999986</v>
      </c>
      <c r="C842" s="3">
        <f>(C$2+C$2*M842+C$2*L842)*(1+K842)</f>
        <v>803.18399999999997</v>
      </c>
      <c r="D842" s="3">
        <v>8</v>
      </c>
      <c r="E842" s="3">
        <v>2</v>
      </c>
      <c r="F842" s="3">
        <v>7</v>
      </c>
      <c r="G842" s="3">
        <f>SUMIFS($S$2:$S$10,$R$2:$R$10,D842)</f>
        <v>27</v>
      </c>
      <c r="H842" s="3">
        <f>SUMIFS($S$2:$S$10,$R$2:$R$10,E842)</f>
        <v>2</v>
      </c>
      <c r="I842" s="3">
        <f>SUMIFS($S$2:$S$10,$R$2:$R$10,F842)</f>
        <v>20</v>
      </c>
      <c r="J842" s="3">
        <f>SUM(G842:I842)</f>
        <v>49</v>
      </c>
      <c r="K842" s="3">
        <f>SUMIFS($T$2:$T$10,$R$2:$R$10,E842)</f>
        <v>0.16</v>
      </c>
      <c r="L842" s="3">
        <f>SUMIFS($V$2:$V$10,$R$2:$R$10,F842)</f>
        <v>7.0000000000000007E-2</v>
      </c>
      <c r="M842" s="3">
        <f>SUMIFS($U$2:$U$10,$R$2:$R$10,D842)</f>
        <v>0.13</v>
      </c>
    </row>
    <row r="843" spans="1:13" x14ac:dyDescent="0.25">
      <c r="A843" s="3">
        <f>(A$2+A$2*M843+A$2*L843)*(1+K843)</f>
        <v>685.2496000000001</v>
      </c>
      <c r="B843" s="3">
        <f>(B$2+B$2*M843+B$2*L843)*(1+K843)</f>
        <v>797.03819999999996</v>
      </c>
      <c r="C843" s="3">
        <f>(C$2+C$2*M843+C$2*L843)*(1+K843)</f>
        <v>837.68859999999995</v>
      </c>
      <c r="D843" s="3">
        <v>8</v>
      </c>
      <c r="E843" s="3">
        <v>4</v>
      </c>
      <c r="F843" s="3">
        <v>6</v>
      </c>
      <c r="G843" s="3">
        <f>SUMIFS($S$2:$S$10,$R$2:$R$10,D843)</f>
        <v>27</v>
      </c>
      <c r="H843" s="3">
        <f>SUMIFS($S$2:$S$10,$R$2:$R$10,E843)</f>
        <v>7</v>
      </c>
      <c r="I843" s="3">
        <f>SUMIFS($S$2:$S$10,$R$2:$R$10,F843)</f>
        <v>15</v>
      </c>
      <c r="J843" s="3">
        <f>SUM(G843:I843)</f>
        <v>49</v>
      </c>
      <c r="K843" s="3">
        <f>SUMIFS($T$2:$T$10,$R$2:$R$10,E843)</f>
        <v>0.22</v>
      </c>
      <c r="L843" s="3">
        <f>SUMIFS($V$2:$V$10,$R$2:$R$10,F843)</f>
        <v>0.06</v>
      </c>
      <c r="M843" s="3">
        <f>SUMIFS($U$2:$U$10,$R$2:$R$10,D843)</f>
        <v>0.13</v>
      </c>
    </row>
    <row r="844" spans="1:13" x14ac:dyDescent="0.25">
      <c r="A844" s="3">
        <f>(A$2+A$2*M844+A$2*L844)*(1+K844)</f>
        <v>728.95680000000004</v>
      </c>
      <c r="B844" s="3">
        <f>(B$2+B$2*M844+B$2*L844)*(1+K844)</f>
        <v>847.87560000000008</v>
      </c>
      <c r="C844" s="3">
        <f>(C$2+C$2*M844+C$2*L844)*(1+K844)</f>
        <v>891.11880000000008</v>
      </c>
      <c r="D844" s="3">
        <v>8</v>
      </c>
      <c r="E844" s="3">
        <v>6</v>
      </c>
      <c r="F844" s="3">
        <v>4</v>
      </c>
      <c r="G844" s="3">
        <f>SUMIFS($S$2:$S$10,$R$2:$R$10,D844)</f>
        <v>27</v>
      </c>
      <c r="H844" s="3">
        <f>SUMIFS($S$2:$S$10,$R$2:$R$10,E844)</f>
        <v>15</v>
      </c>
      <c r="I844" s="3">
        <f>SUMIFS($S$2:$S$10,$R$2:$R$10,F844)</f>
        <v>7</v>
      </c>
      <c r="J844" s="3">
        <f>SUM(G844:I844)</f>
        <v>49</v>
      </c>
      <c r="K844" s="3">
        <f>SUMIFS($T$2:$T$10,$R$2:$R$10,E844)</f>
        <v>0.32</v>
      </c>
      <c r="L844" s="3">
        <f>SUMIFS($V$2:$V$10,$R$2:$R$10,F844)</f>
        <v>0.04</v>
      </c>
      <c r="M844" s="3">
        <f>SUMIFS($U$2:$U$10,$R$2:$R$10,D844)</f>
        <v>0.13</v>
      </c>
    </row>
    <row r="845" spans="1:13" x14ac:dyDescent="0.25">
      <c r="A845" s="3">
        <f>(A$2+A$2*M845+A$2*L845)*(1+K845)</f>
        <v>743.63600000000019</v>
      </c>
      <c r="B845" s="3">
        <f>(B$2+B$2*M845+B$2*L845)*(1+K845)</f>
        <v>864.94950000000006</v>
      </c>
      <c r="C845" s="3">
        <f>(C$2+C$2*M845+C$2*L845)*(1+K845)</f>
        <v>909.06349999999998</v>
      </c>
      <c r="D845" s="3">
        <v>8</v>
      </c>
      <c r="E845" s="3">
        <v>7</v>
      </c>
      <c r="F845" s="3">
        <v>2</v>
      </c>
      <c r="G845" s="3">
        <f>SUMIFS($S$2:$S$10,$R$2:$R$10,D845)</f>
        <v>27</v>
      </c>
      <c r="H845" s="3">
        <f>SUMIFS($S$2:$S$10,$R$2:$R$10,E845)</f>
        <v>20</v>
      </c>
      <c r="I845" s="3">
        <f>SUMIFS($S$2:$S$10,$R$2:$R$10,F845)</f>
        <v>2</v>
      </c>
      <c r="J845" s="3">
        <f>SUM(G845:I845)</f>
        <v>49</v>
      </c>
      <c r="K845" s="3">
        <f>SUMIFS($T$2:$T$10,$R$2:$R$10,E845)</f>
        <v>0.37</v>
      </c>
      <c r="L845" s="3">
        <f>SUMIFS($V$2:$V$10,$R$2:$R$10,F845)</f>
        <v>0.02</v>
      </c>
      <c r="M845" s="3">
        <f>SUMIFS($U$2:$U$10,$R$2:$R$10,D845)</f>
        <v>0.13</v>
      </c>
    </row>
    <row r="846" spans="1:13" x14ac:dyDescent="0.25">
      <c r="A846" s="3">
        <f>(A$2+A$2*M846+A$2*L846)*(1+K846)</f>
        <v>571.12</v>
      </c>
      <c r="B846" s="3">
        <f>(B$2+B$2*M846+B$2*L846)*(1+K846)</f>
        <v>664.29</v>
      </c>
      <c r="C846" s="3">
        <f>(C$2+C$2*M846+C$2*L846)*(1+K846)</f>
        <v>698.17</v>
      </c>
      <c r="D846" s="3">
        <v>9</v>
      </c>
      <c r="E846" s="3">
        <v>0</v>
      </c>
      <c r="F846" s="3">
        <v>6</v>
      </c>
      <c r="G846" s="3">
        <f>SUMIFS($S$2:$S$10,$R$2:$R$10,D846)</f>
        <v>34</v>
      </c>
      <c r="H846" s="3">
        <f>SUMIFS($S$2:$S$10,$R$2:$R$10,E846)</f>
        <v>0</v>
      </c>
      <c r="I846" s="3">
        <f>SUMIFS($S$2:$S$10,$R$2:$R$10,F846)</f>
        <v>15</v>
      </c>
      <c r="J846" s="3">
        <f>SUM(G846:I846)</f>
        <v>49</v>
      </c>
      <c r="K846" s="3">
        <f>SUMIFS($T$2:$T$10,$R$2:$R$10,E846)</f>
        <v>0</v>
      </c>
      <c r="L846" s="3">
        <f>SUMIFS($V$2:$V$10,$R$2:$R$10,F846)</f>
        <v>0.06</v>
      </c>
      <c r="M846" s="3">
        <f>SUMIFS($U$2:$U$10,$R$2:$R$10,D846)</f>
        <v>0.15</v>
      </c>
    </row>
    <row r="847" spans="1:13" x14ac:dyDescent="0.25">
      <c r="A847" s="3">
        <f>(A$2+A$2*M847+A$2*L847)*(1+K847)</f>
        <v>716.49599999999998</v>
      </c>
      <c r="B847" s="3">
        <f>(B$2+B$2*M847+B$2*L847)*(1+K847)</f>
        <v>833.38200000000006</v>
      </c>
      <c r="C847" s="3">
        <f>(C$2+C$2*M847+C$2*L847)*(1+K847)</f>
        <v>875.88599999999997</v>
      </c>
      <c r="D847" s="3">
        <v>9</v>
      </c>
      <c r="E847" s="3">
        <v>6</v>
      </c>
      <c r="F847" s="3">
        <v>0</v>
      </c>
      <c r="G847" s="3">
        <f>SUMIFS($S$2:$S$10,$R$2:$R$10,D847)</f>
        <v>34</v>
      </c>
      <c r="H847" s="3">
        <f>SUMIFS($S$2:$S$10,$R$2:$R$10,E847)</f>
        <v>15</v>
      </c>
      <c r="I847" s="3">
        <f>SUMIFS($S$2:$S$10,$R$2:$R$10,F847)</f>
        <v>0</v>
      </c>
      <c r="J847" s="3">
        <f>SUM(G847:I847)</f>
        <v>49</v>
      </c>
      <c r="K847" s="3">
        <f>SUMIFS($T$2:$T$10,$R$2:$R$10,E847)</f>
        <v>0.32</v>
      </c>
      <c r="L847" s="3">
        <f>SUMIFS($V$2:$V$10,$R$2:$R$10,F847)</f>
        <v>0</v>
      </c>
      <c r="M847" s="3">
        <f>SUMIFS($U$2:$U$10,$R$2:$R$10,D847)</f>
        <v>0.15</v>
      </c>
    </row>
    <row r="848" spans="1:13" x14ac:dyDescent="0.25">
      <c r="A848" s="2">
        <f>(A$2+A$2*K848+A$2*M848)*(1+L848)</f>
        <v>711.30400000000009</v>
      </c>
      <c r="B848" s="2">
        <f>(B$2+B$2*K848+B$2*M848)*(1+L848)</f>
        <v>827.34300000000007</v>
      </c>
      <c r="C848" s="2">
        <f>(C$2+C$2*K848+C$2*M848)*(1+L848)</f>
        <v>869.53899999999999</v>
      </c>
      <c r="D848" s="2">
        <v>8</v>
      </c>
      <c r="E848" s="2">
        <v>2</v>
      </c>
      <c r="F848" s="2">
        <v>7</v>
      </c>
      <c r="G848" s="2">
        <f>SUMIFS($S$2:$S$10,$R$2:$R$10,D848)</f>
        <v>27</v>
      </c>
      <c r="H848" s="2">
        <f>SUMIFS($S$2:$S$10,$R$2:$R$10,E848)</f>
        <v>2</v>
      </c>
      <c r="I848" s="2">
        <f>SUMIFS($S$2:$S$10,$R$2:$R$10,F848)</f>
        <v>20</v>
      </c>
      <c r="J848" s="2">
        <f>SUM(G848:I848)</f>
        <v>49</v>
      </c>
      <c r="K848" s="2">
        <f>SUMIFS($U$2:$U$10,$R$2:$R$10,E848)</f>
        <v>0.02</v>
      </c>
      <c r="L848" s="2">
        <f>SUMIFS($T$2:$T$10,$R$2:$R$10,F848)</f>
        <v>0.37</v>
      </c>
      <c r="M848" s="2">
        <f>SUMIFS($V$2:$V$10,$R$2:$R$10,D848)</f>
        <v>0.08</v>
      </c>
    </row>
    <row r="849" spans="1:13" x14ac:dyDescent="0.25">
      <c r="A849" s="2">
        <f>(A$2+A$2*K849+A$2*M849)*(1+L849)</f>
        <v>704.03520000000003</v>
      </c>
      <c r="B849" s="2">
        <f>(B$2+B$2*K849+B$2*M849)*(1+L849)</f>
        <v>818.88840000000005</v>
      </c>
      <c r="C849" s="2">
        <f>(C$2+C$2*K849+C$2*M849)*(1+L849)</f>
        <v>860.65320000000008</v>
      </c>
      <c r="D849" s="2">
        <v>8</v>
      </c>
      <c r="E849" s="2">
        <v>4</v>
      </c>
      <c r="F849" s="2">
        <v>6</v>
      </c>
      <c r="G849" s="2">
        <f>SUMIFS($S$2:$S$10,$R$2:$R$10,D849)</f>
        <v>27</v>
      </c>
      <c r="H849" s="2">
        <f>SUMIFS($S$2:$S$10,$R$2:$R$10,E849)</f>
        <v>7</v>
      </c>
      <c r="I849" s="2">
        <f>SUMIFS($S$2:$S$10,$R$2:$R$10,F849)</f>
        <v>15</v>
      </c>
      <c r="J849" s="2">
        <f>SUM(G849:I849)</f>
        <v>49</v>
      </c>
      <c r="K849" s="2">
        <f>SUMIFS($U$2:$U$10,$R$2:$R$10,E849)</f>
        <v>0.05</v>
      </c>
      <c r="L849" s="2">
        <f>SUMIFS($T$2:$T$10,$R$2:$R$10,F849)</f>
        <v>0.32</v>
      </c>
      <c r="M849" s="2">
        <f>SUMIFS($V$2:$V$10,$R$2:$R$10,D849)</f>
        <v>0.08</v>
      </c>
    </row>
    <row r="850" spans="1:13" x14ac:dyDescent="0.25">
      <c r="A850" s="2">
        <f>(A$2+A$2*K850+A$2*M850)*(1+L850)</f>
        <v>673.7328</v>
      </c>
      <c r="B850" s="2">
        <f>(B$2+B$2*K850+B$2*M850)*(1+L850)</f>
        <v>783.6425999999999</v>
      </c>
      <c r="C850" s="2">
        <f>(C$2+C$2*K850+C$2*M850)*(1+L850)</f>
        <v>823.60979999999984</v>
      </c>
      <c r="D850" s="2">
        <v>8</v>
      </c>
      <c r="E850" s="2">
        <v>6</v>
      </c>
      <c r="F850" s="2">
        <v>4</v>
      </c>
      <c r="G850" s="2">
        <f>SUMIFS($S$2:$S$10,$R$2:$R$10,D850)</f>
        <v>27</v>
      </c>
      <c r="H850" s="2">
        <f>SUMIFS($S$2:$S$10,$R$2:$R$10,E850)</f>
        <v>15</v>
      </c>
      <c r="I850" s="2">
        <f>SUMIFS($S$2:$S$10,$R$2:$R$10,F850)</f>
        <v>7</v>
      </c>
      <c r="J850" s="2">
        <f>SUM(G850:I850)</f>
        <v>49</v>
      </c>
      <c r="K850" s="2">
        <f>SUMIFS($U$2:$U$10,$R$2:$R$10,E850)</f>
        <v>0.09</v>
      </c>
      <c r="L850" s="2">
        <f>SUMIFS($T$2:$T$10,$R$2:$R$10,F850)</f>
        <v>0.22</v>
      </c>
      <c r="M850" s="2">
        <f>SUMIFS($V$2:$V$10,$R$2:$R$10,D850)</f>
        <v>0.08</v>
      </c>
    </row>
    <row r="851" spans="1:13" x14ac:dyDescent="0.25">
      <c r="A851" s="2">
        <f>(A$2+A$2*K851+A$2*M851)*(1+L851)</f>
        <v>651.54879999999991</v>
      </c>
      <c r="B851" s="2">
        <f>(B$2+B$2*K851+B$2*M851)*(1+L851)</f>
        <v>757.8395999999999</v>
      </c>
      <c r="C851" s="2">
        <f>(C$2+C$2*K851+C$2*M851)*(1+L851)</f>
        <v>796.49079999999992</v>
      </c>
      <c r="D851" s="2">
        <v>8</v>
      </c>
      <c r="E851" s="2">
        <v>7</v>
      </c>
      <c r="F851" s="2">
        <v>2</v>
      </c>
      <c r="G851" s="2">
        <f>SUMIFS($S$2:$S$10,$R$2:$R$10,D851)</f>
        <v>27</v>
      </c>
      <c r="H851" s="2">
        <f>SUMIFS($S$2:$S$10,$R$2:$R$10,E851)</f>
        <v>20</v>
      </c>
      <c r="I851" s="2">
        <f>SUMIFS($S$2:$S$10,$R$2:$R$10,F851)</f>
        <v>2</v>
      </c>
      <c r="J851" s="2">
        <f>SUM(G851:I851)</f>
        <v>49</v>
      </c>
      <c r="K851" s="2">
        <f>SUMIFS($U$2:$U$10,$R$2:$R$10,E851)</f>
        <v>0.11</v>
      </c>
      <c r="L851" s="2">
        <f>SUMIFS($T$2:$T$10,$R$2:$R$10,F851)</f>
        <v>0.16</v>
      </c>
      <c r="M851" s="2">
        <f>SUMIFS($V$2:$V$10,$R$2:$R$10,D851)</f>
        <v>0.08</v>
      </c>
    </row>
    <row r="852" spans="1:13" x14ac:dyDescent="0.25">
      <c r="A852" s="2">
        <f>(A$2+A$2*K852+A$2*M852)*(1+L852)</f>
        <v>679.11360000000002</v>
      </c>
      <c r="B852" s="2">
        <f>(B$2+B$2*K852+B$2*M852)*(1+L852)</f>
        <v>789.90120000000002</v>
      </c>
      <c r="C852" s="2">
        <f>(C$2+C$2*K852+C$2*M852)*(1+L852)</f>
        <v>830.18759999999997</v>
      </c>
      <c r="D852" s="2">
        <v>9</v>
      </c>
      <c r="E852" s="2">
        <v>0</v>
      </c>
      <c r="F852" s="2">
        <v>6</v>
      </c>
      <c r="G852" s="2">
        <f>SUMIFS($S$2:$S$10,$R$2:$R$10,D852)</f>
        <v>34</v>
      </c>
      <c r="H852" s="2">
        <f>SUMIFS($S$2:$S$10,$R$2:$R$10,E852)</f>
        <v>0</v>
      </c>
      <c r="I852" s="2">
        <f>SUMIFS($S$2:$S$10,$R$2:$R$10,F852)</f>
        <v>15</v>
      </c>
      <c r="J852" s="2">
        <f>SUM(G852:I852)</f>
        <v>49</v>
      </c>
      <c r="K852" s="2">
        <f>SUMIFS($U$2:$U$10,$R$2:$R$10,E852)</f>
        <v>0</v>
      </c>
      <c r="L852" s="2">
        <f>SUMIFS($T$2:$T$10,$R$2:$R$10,F852)</f>
        <v>0.32</v>
      </c>
      <c r="M852" s="2">
        <f>SUMIFS($V$2:$V$10,$R$2:$R$10,D852)</f>
        <v>0.09</v>
      </c>
    </row>
    <row r="853" spans="1:13" x14ac:dyDescent="0.25">
      <c r="A853" s="2">
        <f>(A$2+A$2*K853+A$2*M853)*(1+L853)</f>
        <v>556.96</v>
      </c>
      <c r="B853" s="2">
        <f>(B$2+B$2*K853+B$2*M853)*(1+L853)</f>
        <v>647.81999999999994</v>
      </c>
      <c r="C853" s="2">
        <f>(C$2+C$2*K853+C$2*M853)*(1+L853)</f>
        <v>680.8599999999999</v>
      </c>
      <c r="D853" s="2">
        <v>9</v>
      </c>
      <c r="E853" s="2">
        <v>6</v>
      </c>
      <c r="F853" s="2">
        <v>0</v>
      </c>
      <c r="G853" s="2">
        <f>SUMIFS($S$2:$S$10,$R$2:$R$10,D853)</f>
        <v>34</v>
      </c>
      <c r="H853" s="2">
        <f>SUMIFS($S$2:$S$10,$R$2:$R$10,E853)</f>
        <v>15</v>
      </c>
      <c r="I853" s="2">
        <f>SUMIFS($S$2:$S$10,$R$2:$R$10,F853)</f>
        <v>0</v>
      </c>
      <c r="J853" s="2">
        <f>SUM(G853:I853)</f>
        <v>49</v>
      </c>
      <c r="K853" s="2">
        <f>SUMIFS($U$2:$U$10,$R$2:$R$10,E853)</f>
        <v>0.09</v>
      </c>
      <c r="L853" s="2">
        <f>SUMIFS($T$2:$T$10,$R$2:$R$10,F853)</f>
        <v>0</v>
      </c>
      <c r="M853" s="2">
        <f>SUMIFS($V$2:$V$10,$R$2:$R$10,D853)</f>
        <v>0.09</v>
      </c>
    </row>
    <row r="854" spans="1:13" x14ac:dyDescent="0.25">
      <c r="A854" s="1">
        <f>(A$2+A$2*K854+A$2*L854)*(1+M854)</f>
        <v>737.16960000000006</v>
      </c>
      <c r="B854" s="1">
        <f>(B$2+B$2*K854+B$2*L854)*(1+M854)</f>
        <v>857.42820000000029</v>
      </c>
      <c r="C854" s="1">
        <f>(C$2+C$2*K854+C$2*L854)*(1+M854)</f>
        <v>901.15859999999998</v>
      </c>
      <c r="D854" s="1">
        <v>7</v>
      </c>
      <c r="E854" s="1">
        <v>5</v>
      </c>
      <c r="F854" s="1">
        <v>7</v>
      </c>
      <c r="G854" s="1">
        <f>SUMIFS($S$2:$S$10,$R$2:$R$10,D854)</f>
        <v>20</v>
      </c>
      <c r="H854" s="1">
        <f>SUMIFS($S$2:$S$10,$R$2:$R$10,E854)</f>
        <v>10</v>
      </c>
      <c r="I854" s="1">
        <f>SUMIFS($S$2:$S$10,$R$2:$R$10,F854)</f>
        <v>20</v>
      </c>
      <c r="J854" s="1">
        <f>SUM(G854:I854)</f>
        <v>50</v>
      </c>
      <c r="K854" s="1">
        <f>SUMIFS($U$2:$U$10,$R$2:$R$10,E854)</f>
        <v>7.0000000000000007E-2</v>
      </c>
      <c r="L854" s="1">
        <f>SUMIFS($V$2:$V$10,$R$2:$R$10,F854)</f>
        <v>7.0000000000000007E-2</v>
      </c>
      <c r="M854" s="1">
        <f>SUMIFS($T$2:$T$10,$R$2:$R$10,D854)</f>
        <v>0.37</v>
      </c>
    </row>
    <row r="855" spans="1:13" x14ac:dyDescent="0.25">
      <c r="A855" s="1">
        <f>(A$2+A$2*K855+A$2*L855)*(1+M855)</f>
        <v>743.63600000000019</v>
      </c>
      <c r="B855" s="1">
        <f>(B$2+B$2*K855+B$2*L855)*(1+M855)</f>
        <v>864.94949999999994</v>
      </c>
      <c r="C855" s="1">
        <f>(C$2+C$2*K855+C$2*L855)*(1+M855)</f>
        <v>909.06349999999998</v>
      </c>
      <c r="D855" s="1">
        <v>7</v>
      </c>
      <c r="E855" s="1">
        <v>6</v>
      </c>
      <c r="F855" s="1">
        <v>6</v>
      </c>
      <c r="G855" s="1">
        <f>SUMIFS($S$2:$S$10,$R$2:$R$10,D855)</f>
        <v>20</v>
      </c>
      <c r="H855" s="1">
        <f>SUMIFS($S$2:$S$10,$R$2:$R$10,E855)</f>
        <v>15</v>
      </c>
      <c r="I855" s="1">
        <f>SUMIFS($S$2:$S$10,$R$2:$R$10,F855)</f>
        <v>15</v>
      </c>
      <c r="J855" s="1">
        <f>SUM(G855:I855)</f>
        <v>50</v>
      </c>
      <c r="K855" s="1">
        <f>SUMIFS($U$2:$U$10,$R$2:$R$10,E855)</f>
        <v>0.09</v>
      </c>
      <c r="L855" s="1">
        <f>SUMIFS($V$2:$V$10,$R$2:$R$10,F855)</f>
        <v>0.06</v>
      </c>
      <c r="M855" s="1">
        <f>SUMIFS($T$2:$T$10,$R$2:$R$10,D855)</f>
        <v>0.37</v>
      </c>
    </row>
    <row r="856" spans="1:13" x14ac:dyDescent="0.25">
      <c r="A856" s="1">
        <f>(A$2+A$2*K856+A$2*L856)*(1+M856)</f>
        <v>750.10239999999999</v>
      </c>
      <c r="B856" s="1">
        <f>(B$2+B$2*K856+B$2*L856)*(1+M856)</f>
        <v>872.47080000000017</v>
      </c>
      <c r="C856" s="1">
        <f>(C$2+C$2*K856+C$2*L856)*(1+M856)</f>
        <v>916.96840000000009</v>
      </c>
      <c r="D856" s="1">
        <v>7</v>
      </c>
      <c r="E856" s="1">
        <v>7</v>
      </c>
      <c r="F856" s="1">
        <v>5</v>
      </c>
      <c r="G856" s="1">
        <f>SUMIFS($S$2:$S$10,$R$2:$R$10,D856)</f>
        <v>20</v>
      </c>
      <c r="H856" s="1">
        <f>SUMIFS($S$2:$S$10,$R$2:$R$10,E856)</f>
        <v>20</v>
      </c>
      <c r="I856" s="1">
        <f>SUMIFS($S$2:$S$10,$R$2:$R$10,F856)</f>
        <v>10</v>
      </c>
      <c r="J856" s="1">
        <f>SUM(G856:I856)</f>
        <v>50</v>
      </c>
      <c r="K856" s="1">
        <f>SUMIFS($U$2:$U$10,$R$2:$R$10,E856)</f>
        <v>0.11</v>
      </c>
      <c r="L856" s="1">
        <f>SUMIFS($V$2:$V$10,$R$2:$R$10,F856)</f>
        <v>0.05</v>
      </c>
      <c r="M856" s="1">
        <f>SUMIFS($T$2:$T$10,$R$2:$R$10,D856)</f>
        <v>0.37</v>
      </c>
    </row>
    <row r="857" spans="1:13" x14ac:dyDescent="0.25">
      <c r="A857" s="1">
        <f>(A$2+A$2*K857+A$2*L857)*(1+M857)</f>
        <v>752.50959999999998</v>
      </c>
      <c r="B857" s="1">
        <f>(B$2+B$2*K857+B$2*L857)*(1+M857)</f>
        <v>875.27070000000003</v>
      </c>
      <c r="C857" s="1">
        <f>(C$2+C$2*K857+C$2*L857)*(1+M857)</f>
        <v>919.91109999999992</v>
      </c>
      <c r="D857" s="1">
        <v>9</v>
      </c>
      <c r="E857" s="1">
        <v>1</v>
      </c>
      <c r="F857" s="1">
        <v>6</v>
      </c>
      <c r="G857" s="1">
        <f>SUMIFS($S$2:$S$10,$R$2:$R$10,D857)</f>
        <v>34</v>
      </c>
      <c r="H857" s="1">
        <f>SUMIFS($S$2:$S$10,$R$2:$R$10,E857)</f>
        <v>1</v>
      </c>
      <c r="I857" s="1">
        <f>SUMIFS($S$2:$S$10,$R$2:$R$10,F857)</f>
        <v>15</v>
      </c>
      <c r="J857" s="1">
        <f>SUM(G857:I857)</f>
        <v>50</v>
      </c>
      <c r="K857" s="1">
        <f>SUMIFS($U$2:$U$10,$R$2:$R$10,E857)</f>
        <v>0.01</v>
      </c>
      <c r="L857" s="1">
        <f>SUMIFS($V$2:$V$10,$R$2:$R$10,F857)</f>
        <v>0.06</v>
      </c>
      <c r="M857" s="1">
        <f>SUMIFS($T$2:$T$10,$R$2:$R$10,D857)</f>
        <v>0.49</v>
      </c>
    </row>
    <row r="858" spans="1:13" x14ac:dyDescent="0.25">
      <c r="A858" s="1">
        <f>(A$2+A$2*K858+A$2*L858)*(1+M858)</f>
        <v>773.60800000000006</v>
      </c>
      <c r="B858" s="1">
        <f>(B$2+B$2*K858+B$2*L858)*(1+M858)</f>
        <v>899.81099999999992</v>
      </c>
      <c r="C858" s="1">
        <f>(C$2+C$2*K858+C$2*L858)*(1+M858)</f>
        <v>945.70299999999986</v>
      </c>
      <c r="D858" s="1">
        <v>9</v>
      </c>
      <c r="E858" s="1">
        <v>6</v>
      </c>
      <c r="F858" s="1">
        <v>1</v>
      </c>
      <c r="G858" s="1">
        <f>SUMIFS($S$2:$S$10,$R$2:$R$10,D858)</f>
        <v>34</v>
      </c>
      <c r="H858" s="1">
        <f>SUMIFS($S$2:$S$10,$R$2:$R$10,E858)</f>
        <v>15</v>
      </c>
      <c r="I858" s="1">
        <f>SUMIFS($S$2:$S$10,$R$2:$R$10,F858)</f>
        <v>1</v>
      </c>
      <c r="J858" s="1">
        <f>SUM(G858:I858)</f>
        <v>50</v>
      </c>
      <c r="K858" s="1">
        <f>SUMIFS($U$2:$U$10,$R$2:$R$10,E858)</f>
        <v>0.09</v>
      </c>
      <c r="L858" s="1">
        <f>SUMIFS($V$2:$V$10,$R$2:$R$10,F858)</f>
        <v>0.01</v>
      </c>
      <c r="M858" s="1">
        <f>SUMIFS($T$2:$T$10,$R$2:$R$10,D858)</f>
        <v>0.49</v>
      </c>
    </row>
    <row r="859" spans="1:13" x14ac:dyDescent="0.25">
      <c r="A859" s="3">
        <f>(A$2+A$2*M859+A$2*L859)*(1+K859)</f>
        <v>707.33919999999989</v>
      </c>
      <c r="B859" s="3">
        <f>(B$2+B$2*M859+B$2*L859)*(1+K859)</f>
        <v>822.73139999999989</v>
      </c>
      <c r="C859" s="3">
        <f>(C$2+C$2*M859+C$2*L859)*(1+K859)</f>
        <v>864.69220000000007</v>
      </c>
      <c r="D859" s="3">
        <v>7</v>
      </c>
      <c r="E859" s="3">
        <v>5</v>
      </c>
      <c r="F859" s="3">
        <v>7</v>
      </c>
      <c r="G859" s="3">
        <f>SUMIFS($S$2:$S$10,$R$2:$R$10,D859)</f>
        <v>20</v>
      </c>
      <c r="H859" s="3">
        <f>SUMIFS($S$2:$S$10,$R$2:$R$10,E859)</f>
        <v>10</v>
      </c>
      <c r="I859" s="3">
        <f>SUMIFS($S$2:$S$10,$R$2:$R$10,F859)</f>
        <v>20</v>
      </c>
      <c r="J859" s="3">
        <f>SUM(G859:I859)</f>
        <v>50</v>
      </c>
      <c r="K859" s="3">
        <f>SUMIFS($T$2:$T$10,$R$2:$R$10,E859)</f>
        <v>0.27</v>
      </c>
      <c r="L859" s="3">
        <f>SUMIFS($V$2:$V$10,$R$2:$R$10,F859)</f>
        <v>7.0000000000000007E-2</v>
      </c>
      <c r="M859" s="3">
        <f>SUMIFS($U$2:$U$10,$R$2:$R$10,D859)</f>
        <v>0.11</v>
      </c>
    </row>
    <row r="860" spans="1:13" x14ac:dyDescent="0.25">
      <c r="A860" s="3">
        <f>(A$2+A$2*M860+A$2*L860)*(1+K860)</f>
        <v>728.95680000000004</v>
      </c>
      <c r="B860" s="3">
        <f>(B$2+B$2*M860+B$2*L860)*(1+K860)</f>
        <v>847.87559999999996</v>
      </c>
      <c r="C860" s="3">
        <f>(C$2+C$2*M860+C$2*L860)*(1+K860)</f>
        <v>891.11880000000008</v>
      </c>
      <c r="D860" s="3">
        <v>7</v>
      </c>
      <c r="E860" s="3">
        <v>6</v>
      </c>
      <c r="F860" s="3">
        <v>6</v>
      </c>
      <c r="G860" s="3">
        <f>SUMIFS($S$2:$S$10,$R$2:$R$10,D860)</f>
        <v>20</v>
      </c>
      <c r="H860" s="3">
        <f>SUMIFS($S$2:$S$10,$R$2:$R$10,E860)</f>
        <v>15</v>
      </c>
      <c r="I860" s="3">
        <f>SUMIFS($S$2:$S$10,$R$2:$R$10,F860)</f>
        <v>15</v>
      </c>
      <c r="J860" s="3">
        <f>SUM(G860:I860)</f>
        <v>50</v>
      </c>
      <c r="K860" s="3">
        <f>SUMIFS($T$2:$T$10,$R$2:$R$10,E860)</f>
        <v>0.32</v>
      </c>
      <c r="L860" s="3">
        <f>SUMIFS($V$2:$V$10,$R$2:$R$10,F860)</f>
        <v>0.06</v>
      </c>
      <c r="M860" s="3">
        <f>SUMIFS($U$2:$U$10,$R$2:$R$10,D860)</f>
        <v>0.11</v>
      </c>
    </row>
    <row r="861" spans="1:13" x14ac:dyDescent="0.25">
      <c r="A861" s="3">
        <f>(A$2+A$2*M861+A$2*L861)*(1+K861)</f>
        <v>750.10239999999999</v>
      </c>
      <c r="B861" s="3">
        <f>(B$2+B$2*M861+B$2*L861)*(1+K861)</f>
        <v>872.47080000000017</v>
      </c>
      <c r="C861" s="3">
        <f>(C$2+C$2*M861+C$2*L861)*(1+K861)</f>
        <v>916.96840000000009</v>
      </c>
      <c r="D861" s="3">
        <v>7</v>
      </c>
      <c r="E861" s="3">
        <v>7</v>
      </c>
      <c r="F861" s="3">
        <v>5</v>
      </c>
      <c r="G861" s="3">
        <f>SUMIFS($S$2:$S$10,$R$2:$R$10,D861)</f>
        <v>20</v>
      </c>
      <c r="H861" s="3">
        <f>SUMIFS($S$2:$S$10,$R$2:$R$10,E861)</f>
        <v>20</v>
      </c>
      <c r="I861" s="3">
        <f>SUMIFS($S$2:$S$10,$R$2:$R$10,F861)</f>
        <v>10</v>
      </c>
      <c r="J861" s="3">
        <f>SUM(G861:I861)</f>
        <v>50</v>
      </c>
      <c r="K861" s="3">
        <f>SUMIFS($T$2:$T$10,$R$2:$R$10,E861)</f>
        <v>0.37</v>
      </c>
      <c r="L861" s="3">
        <f>SUMIFS($V$2:$V$10,$R$2:$R$10,F861)</f>
        <v>0.05</v>
      </c>
      <c r="M861" s="3">
        <f>SUMIFS($U$2:$U$10,$R$2:$R$10,D861)</f>
        <v>0.11</v>
      </c>
    </row>
    <row r="862" spans="1:13" x14ac:dyDescent="0.25">
      <c r="A862" s="3">
        <f>(A$2+A$2*M862+A$2*L862)*(1+K862)</f>
        <v>645.36559999999997</v>
      </c>
      <c r="B862" s="3">
        <f>(B$2+B$2*M862+B$2*L862)*(1+K862)</f>
        <v>750.64769999999987</v>
      </c>
      <c r="C862" s="3">
        <f>(C$2+C$2*M862+C$2*L862)*(1+K862)</f>
        <v>788.93209999999988</v>
      </c>
      <c r="D862" s="3">
        <v>9</v>
      </c>
      <c r="E862" s="3">
        <v>1</v>
      </c>
      <c r="F862" s="3">
        <v>6</v>
      </c>
      <c r="G862" s="3">
        <f>SUMIFS($S$2:$S$10,$R$2:$R$10,D862)</f>
        <v>34</v>
      </c>
      <c r="H862" s="3">
        <f>SUMIFS($S$2:$S$10,$R$2:$R$10,E862)</f>
        <v>1</v>
      </c>
      <c r="I862" s="3">
        <f>SUMIFS($S$2:$S$10,$R$2:$R$10,F862)</f>
        <v>15</v>
      </c>
      <c r="J862" s="3">
        <f>SUM(G862:I862)</f>
        <v>50</v>
      </c>
      <c r="K862" s="3">
        <f>SUMIFS($T$2:$T$10,$R$2:$R$10,E862)</f>
        <v>0.13</v>
      </c>
      <c r="L862" s="3">
        <f>SUMIFS($V$2:$V$10,$R$2:$R$10,F862)</f>
        <v>0.06</v>
      </c>
      <c r="M862" s="3">
        <f>SUMIFS($U$2:$U$10,$R$2:$R$10,D862)</f>
        <v>0.15</v>
      </c>
    </row>
    <row r="863" spans="1:13" x14ac:dyDescent="0.25">
      <c r="A863" s="3">
        <f>(A$2+A$2*M863+A$2*L863)*(1+K863)</f>
        <v>722.72640000000001</v>
      </c>
      <c r="B863" s="3">
        <f>(B$2+B$2*M863+B$2*L863)*(1+K863)</f>
        <v>840.62880000000007</v>
      </c>
      <c r="C863" s="3">
        <f>(C$2+C$2*M863+C$2*L863)*(1+K863)</f>
        <v>883.50239999999997</v>
      </c>
      <c r="D863" s="3">
        <v>9</v>
      </c>
      <c r="E863" s="3">
        <v>6</v>
      </c>
      <c r="F863" s="3">
        <v>1</v>
      </c>
      <c r="G863" s="3">
        <f>SUMIFS($S$2:$S$10,$R$2:$R$10,D863)</f>
        <v>34</v>
      </c>
      <c r="H863" s="3">
        <f>SUMIFS($S$2:$S$10,$R$2:$R$10,E863)</f>
        <v>15</v>
      </c>
      <c r="I863" s="3">
        <f>SUMIFS($S$2:$S$10,$R$2:$R$10,F863)</f>
        <v>1</v>
      </c>
      <c r="J863" s="3">
        <f>SUM(G863:I863)</f>
        <v>50</v>
      </c>
      <c r="K863" s="3">
        <f>SUMIFS($T$2:$T$10,$R$2:$R$10,E863)</f>
        <v>0.32</v>
      </c>
      <c r="L863" s="3">
        <f>SUMIFS($V$2:$V$10,$R$2:$R$10,F863)</f>
        <v>0.01</v>
      </c>
      <c r="M863" s="3">
        <f>SUMIFS($U$2:$U$10,$R$2:$R$10,D863)</f>
        <v>0.15</v>
      </c>
    </row>
    <row r="864" spans="1:13" x14ac:dyDescent="0.25">
      <c r="A864" s="2">
        <f>(A$2+A$2*K864+A$2*M864)*(1+L864)</f>
        <v>737.16960000000006</v>
      </c>
      <c r="B864" s="2">
        <f>(B$2+B$2*K864+B$2*M864)*(1+L864)</f>
        <v>857.42820000000029</v>
      </c>
      <c r="C864" s="2">
        <f>(C$2+C$2*K864+C$2*M864)*(1+L864)</f>
        <v>901.15859999999998</v>
      </c>
      <c r="D864" s="2">
        <v>7</v>
      </c>
      <c r="E864" s="2">
        <v>5</v>
      </c>
      <c r="F864" s="2">
        <v>7</v>
      </c>
      <c r="G864" s="2">
        <f>SUMIFS($S$2:$S$10,$R$2:$R$10,D864)</f>
        <v>20</v>
      </c>
      <c r="H864" s="2">
        <f>SUMIFS($S$2:$S$10,$R$2:$R$10,E864)</f>
        <v>10</v>
      </c>
      <c r="I864" s="2">
        <f>SUMIFS($S$2:$S$10,$R$2:$R$10,F864)</f>
        <v>20</v>
      </c>
      <c r="J864" s="2">
        <f>SUM(G864:I864)</f>
        <v>50</v>
      </c>
      <c r="K864" s="2">
        <f>SUMIFS($U$2:$U$10,$R$2:$R$10,E864)</f>
        <v>7.0000000000000007E-2</v>
      </c>
      <c r="L864" s="2">
        <f>SUMIFS($T$2:$T$10,$R$2:$R$10,F864)</f>
        <v>0.37</v>
      </c>
      <c r="M864" s="2">
        <f>SUMIFS($V$2:$V$10,$R$2:$R$10,D864)</f>
        <v>7.0000000000000007E-2</v>
      </c>
    </row>
    <row r="865" spans="1:13" x14ac:dyDescent="0.25">
      <c r="A865" s="2">
        <f>(A$2+A$2*K865+A$2*M865)*(1+L865)</f>
        <v>722.72640000000001</v>
      </c>
      <c r="B865" s="2">
        <f>(B$2+B$2*K865+B$2*M865)*(1+L865)</f>
        <v>840.62879999999996</v>
      </c>
      <c r="C865" s="2">
        <f>(C$2+C$2*K865+C$2*M865)*(1+L865)</f>
        <v>883.50239999999997</v>
      </c>
      <c r="D865" s="2">
        <v>7</v>
      </c>
      <c r="E865" s="2">
        <v>6</v>
      </c>
      <c r="F865" s="2">
        <v>6</v>
      </c>
      <c r="G865" s="2">
        <f>SUMIFS($S$2:$S$10,$R$2:$R$10,D865)</f>
        <v>20</v>
      </c>
      <c r="H865" s="2">
        <f>SUMIFS($S$2:$S$10,$R$2:$R$10,E865)</f>
        <v>15</v>
      </c>
      <c r="I865" s="2">
        <f>SUMIFS($S$2:$S$10,$R$2:$R$10,F865)</f>
        <v>15</v>
      </c>
      <c r="J865" s="2">
        <f>SUM(G865:I865)</f>
        <v>50</v>
      </c>
      <c r="K865" s="2">
        <f>SUMIFS($U$2:$U$10,$R$2:$R$10,E865)</f>
        <v>0.09</v>
      </c>
      <c r="L865" s="2">
        <f>SUMIFS($T$2:$T$10,$R$2:$R$10,F865)</f>
        <v>0.32</v>
      </c>
      <c r="M865" s="2">
        <f>SUMIFS($V$2:$V$10,$R$2:$R$10,D865)</f>
        <v>7.0000000000000007E-2</v>
      </c>
    </row>
    <row r="866" spans="1:13" x14ac:dyDescent="0.25">
      <c r="A866" s="2">
        <f>(A$2+A$2*K866+A$2*M866)*(1+L866)</f>
        <v>707.33919999999989</v>
      </c>
      <c r="B866" s="2">
        <f>(B$2+B$2*K866+B$2*M866)*(1+L866)</f>
        <v>822.73139999999989</v>
      </c>
      <c r="C866" s="2">
        <f>(C$2+C$2*K866+C$2*M866)*(1+L866)</f>
        <v>864.69220000000007</v>
      </c>
      <c r="D866" s="2">
        <v>7</v>
      </c>
      <c r="E866" s="2">
        <v>7</v>
      </c>
      <c r="F866" s="2">
        <v>5</v>
      </c>
      <c r="G866" s="2">
        <f>SUMIFS($S$2:$S$10,$R$2:$R$10,D866)</f>
        <v>20</v>
      </c>
      <c r="H866" s="2">
        <f>SUMIFS($S$2:$S$10,$R$2:$R$10,E866)</f>
        <v>20</v>
      </c>
      <c r="I866" s="2">
        <f>SUMIFS($S$2:$S$10,$R$2:$R$10,F866)</f>
        <v>10</v>
      </c>
      <c r="J866" s="2">
        <f>SUM(G866:I866)</f>
        <v>50</v>
      </c>
      <c r="K866" s="2">
        <f>SUMIFS($U$2:$U$10,$R$2:$R$10,E866)</f>
        <v>0.11</v>
      </c>
      <c r="L866" s="2">
        <f>SUMIFS($T$2:$T$10,$R$2:$R$10,F866)</f>
        <v>0.27</v>
      </c>
      <c r="M866" s="2">
        <f>SUMIFS($V$2:$V$10,$R$2:$R$10,D866)</f>
        <v>7.0000000000000007E-2</v>
      </c>
    </row>
    <row r="867" spans="1:13" x14ac:dyDescent="0.25">
      <c r="A867" s="2">
        <f>(A$2+A$2*K867+A$2*M867)*(1+L867)</f>
        <v>685.34400000000005</v>
      </c>
      <c r="B867" s="2">
        <f>(B$2+B$2*K867+B$2*M867)*(1+L867)</f>
        <v>797.14800000000002</v>
      </c>
      <c r="C867" s="2">
        <f>(C$2+C$2*K867+C$2*M867)*(1+L867)</f>
        <v>837.80399999999997</v>
      </c>
      <c r="D867" s="2">
        <v>9</v>
      </c>
      <c r="E867" s="2">
        <v>1</v>
      </c>
      <c r="F867" s="2">
        <v>6</v>
      </c>
      <c r="G867" s="2">
        <f>SUMIFS($S$2:$S$10,$R$2:$R$10,D867)</f>
        <v>34</v>
      </c>
      <c r="H867" s="2">
        <f>SUMIFS($S$2:$S$10,$R$2:$R$10,E867)</f>
        <v>1</v>
      </c>
      <c r="I867" s="2">
        <f>SUMIFS($S$2:$S$10,$R$2:$R$10,F867)</f>
        <v>15</v>
      </c>
      <c r="J867" s="2">
        <f>SUM(G867:I867)</f>
        <v>50</v>
      </c>
      <c r="K867" s="2">
        <f>SUMIFS($U$2:$U$10,$R$2:$R$10,E867)</f>
        <v>0.01</v>
      </c>
      <c r="L867" s="2">
        <f>SUMIFS($T$2:$T$10,$R$2:$R$10,F867)</f>
        <v>0.32</v>
      </c>
      <c r="M867" s="2">
        <f>SUMIFS($V$2:$V$10,$R$2:$R$10,D867)</f>
        <v>0.09</v>
      </c>
    </row>
    <row r="868" spans="1:13" x14ac:dyDescent="0.25">
      <c r="A868" s="2">
        <f>(A$2+A$2*K868+A$2*M868)*(1+L868)</f>
        <v>629.36479999999995</v>
      </c>
      <c r="B868" s="2">
        <f>(B$2+B$2*K868+B$2*M868)*(1+L868)</f>
        <v>732.03659999999991</v>
      </c>
      <c r="C868" s="2">
        <f>(C$2+C$2*K868+C$2*M868)*(1+L868)</f>
        <v>769.37179999999978</v>
      </c>
      <c r="D868" s="2">
        <v>9</v>
      </c>
      <c r="E868" s="2">
        <v>6</v>
      </c>
      <c r="F868" s="2">
        <v>1</v>
      </c>
      <c r="G868" s="2">
        <f>SUMIFS($S$2:$S$10,$R$2:$R$10,D868)</f>
        <v>34</v>
      </c>
      <c r="H868" s="2">
        <f>SUMIFS($S$2:$S$10,$R$2:$R$10,E868)</f>
        <v>15</v>
      </c>
      <c r="I868" s="2">
        <f>SUMIFS($S$2:$S$10,$R$2:$R$10,F868)</f>
        <v>1</v>
      </c>
      <c r="J868" s="2">
        <f>SUM(G868:I868)</f>
        <v>50</v>
      </c>
      <c r="K868" s="2">
        <f>SUMIFS($U$2:$U$10,$R$2:$R$10,E868)</f>
        <v>0.09</v>
      </c>
      <c r="L868" s="2">
        <f>SUMIFS($T$2:$T$10,$R$2:$R$10,F868)</f>
        <v>0.13</v>
      </c>
      <c r="M868" s="2">
        <f>SUMIFS($V$2:$V$10,$R$2:$R$10,D868)</f>
        <v>0.09</v>
      </c>
    </row>
    <row r="869" spans="1:13" x14ac:dyDescent="0.25">
      <c r="A869" s="1">
        <f>(A$2+A$2*K869+A$2*L869)*(1+M869)</f>
        <v>742.45600000000002</v>
      </c>
      <c r="B869" s="1">
        <f>(B$2+B$2*K869+B$2*L869)*(1+M869)</f>
        <v>863.57700000000011</v>
      </c>
      <c r="C869" s="1">
        <f>(C$2+C$2*K869+C$2*L869)*(1+M869)</f>
        <v>907.62099999999987</v>
      </c>
      <c r="D869" s="1">
        <v>8</v>
      </c>
      <c r="E869" s="1">
        <v>3</v>
      </c>
      <c r="F869" s="1">
        <v>7</v>
      </c>
      <c r="G869" s="1">
        <f>SUMIFS($S$2:$S$10,$R$2:$R$10,D869)</f>
        <v>27</v>
      </c>
      <c r="H869" s="1">
        <f>SUMIFS($S$2:$S$10,$R$2:$R$10,E869)</f>
        <v>4</v>
      </c>
      <c r="I869" s="1">
        <f>SUMIFS($S$2:$S$10,$R$2:$R$10,F869)</f>
        <v>20</v>
      </c>
      <c r="J869" s="1">
        <f>SUM(G869:I869)</f>
        <v>51</v>
      </c>
      <c r="K869" s="1">
        <f>SUMIFS($U$2:$U$10,$R$2:$R$10,E869)</f>
        <v>0.03</v>
      </c>
      <c r="L869" s="1">
        <f>SUMIFS($V$2:$V$10,$R$2:$R$10,F869)</f>
        <v>7.0000000000000007E-2</v>
      </c>
      <c r="M869" s="1">
        <f>SUMIFS($T$2:$T$10,$R$2:$R$10,D869)</f>
        <v>0.43</v>
      </c>
    </row>
    <row r="870" spans="1:13" x14ac:dyDescent="0.25">
      <c r="A870" s="1">
        <f>(A$2+A$2*K870+A$2*L870)*(1+M870)</f>
        <v>769.45439999999985</v>
      </c>
      <c r="B870" s="1">
        <f>(B$2+B$2*K870+B$2*L870)*(1+M870)</f>
        <v>894.97979999999995</v>
      </c>
      <c r="C870" s="1">
        <f>(C$2+C$2*K870+C$2*L870)*(1+M870)</f>
        <v>940.6253999999999</v>
      </c>
      <c r="D870" s="1">
        <v>8</v>
      </c>
      <c r="E870" s="1">
        <v>7</v>
      </c>
      <c r="F870" s="1">
        <v>3</v>
      </c>
      <c r="G870" s="1">
        <f>SUMIFS($S$2:$S$10,$R$2:$R$10,D870)</f>
        <v>27</v>
      </c>
      <c r="H870" s="1">
        <f>SUMIFS($S$2:$S$10,$R$2:$R$10,E870)</f>
        <v>20</v>
      </c>
      <c r="I870" s="1">
        <f>SUMIFS($S$2:$S$10,$R$2:$R$10,F870)</f>
        <v>4</v>
      </c>
      <c r="J870" s="1">
        <f>SUM(G870:I870)</f>
        <v>51</v>
      </c>
      <c r="K870" s="1">
        <f>SUMIFS($U$2:$U$10,$R$2:$R$10,E870)</f>
        <v>0.11</v>
      </c>
      <c r="L870" s="1">
        <f>SUMIFS($V$2:$V$10,$R$2:$R$10,F870)</f>
        <v>0.03</v>
      </c>
      <c r="M870" s="1">
        <f>SUMIFS($T$2:$T$10,$R$2:$R$10,D870)</f>
        <v>0.43</v>
      </c>
    </row>
    <row r="871" spans="1:13" x14ac:dyDescent="0.25">
      <c r="A871" s="1">
        <f>(A$2+A$2*K871+A$2*L871)*(1+M871)</f>
        <v>759.54239999999993</v>
      </c>
      <c r="B871" s="1">
        <f>(B$2+B$2*K871+B$2*L871)*(1+M871)</f>
        <v>883.45080000000007</v>
      </c>
      <c r="C871" s="1">
        <f>(C$2+C$2*K871+C$2*L871)*(1+M871)</f>
        <v>928.50839999999994</v>
      </c>
      <c r="D871" s="1">
        <v>9</v>
      </c>
      <c r="E871" s="1">
        <v>2</v>
      </c>
      <c r="F871" s="1">
        <v>6</v>
      </c>
      <c r="G871" s="1">
        <f>SUMIFS($S$2:$S$10,$R$2:$R$10,D871)</f>
        <v>34</v>
      </c>
      <c r="H871" s="1">
        <f>SUMIFS($S$2:$S$10,$R$2:$R$10,E871)</f>
        <v>2</v>
      </c>
      <c r="I871" s="1">
        <f>SUMIFS($S$2:$S$10,$R$2:$R$10,F871)</f>
        <v>15</v>
      </c>
      <c r="J871" s="1">
        <f>SUM(G871:I871)</f>
        <v>51</v>
      </c>
      <c r="K871" s="1">
        <f>SUMIFS($U$2:$U$10,$R$2:$R$10,E871)</f>
        <v>0.02</v>
      </c>
      <c r="L871" s="1">
        <f>SUMIFS($V$2:$V$10,$R$2:$R$10,F871)</f>
        <v>0.06</v>
      </c>
      <c r="M871" s="1">
        <f>SUMIFS($T$2:$T$10,$R$2:$R$10,D871)</f>
        <v>0.49</v>
      </c>
    </row>
    <row r="872" spans="1:13" x14ac:dyDescent="0.25">
      <c r="A872" s="1">
        <f>(A$2+A$2*K872+A$2*L872)*(1+M872)</f>
        <v>773.60800000000006</v>
      </c>
      <c r="B872" s="1">
        <f>(B$2+B$2*K872+B$2*L872)*(1+M872)</f>
        <v>899.81100000000015</v>
      </c>
      <c r="C872" s="1">
        <f>(C$2+C$2*K872+C$2*L872)*(1+M872)</f>
        <v>945.70300000000009</v>
      </c>
      <c r="D872" s="1">
        <v>9</v>
      </c>
      <c r="E872" s="1">
        <v>4</v>
      </c>
      <c r="F872" s="1">
        <v>5</v>
      </c>
      <c r="G872" s="1">
        <f>SUMIFS($S$2:$S$10,$R$2:$R$10,D872)</f>
        <v>34</v>
      </c>
      <c r="H872" s="1">
        <f>SUMIFS($S$2:$S$10,$R$2:$R$10,E872)</f>
        <v>7</v>
      </c>
      <c r="I872" s="1">
        <f>SUMIFS($S$2:$S$10,$R$2:$R$10,F872)</f>
        <v>10</v>
      </c>
      <c r="J872" s="1">
        <f>SUM(G872:I872)</f>
        <v>51</v>
      </c>
      <c r="K872" s="1">
        <f>SUMIFS($U$2:$U$10,$R$2:$R$10,E872)</f>
        <v>0.05</v>
      </c>
      <c r="L872" s="1">
        <f>SUMIFS($V$2:$V$10,$R$2:$R$10,F872)</f>
        <v>0.05</v>
      </c>
      <c r="M872" s="1">
        <f>SUMIFS($T$2:$T$10,$R$2:$R$10,D872)</f>
        <v>0.49</v>
      </c>
    </row>
    <row r="873" spans="1:13" x14ac:dyDescent="0.25">
      <c r="A873" s="1">
        <f>(A$2+A$2*K873+A$2*L873)*(1+M873)</f>
        <v>780.64080000000013</v>
      </c>
      <c r="B873" s="1">
        <f>(B$2+B$2*K873+B$2*L873)*(1+M873)</f>
        <v>907.99110000000019</v>
      </c>
      <c r="C873" s="1">
        <f>(C$2+C$2*K873+C$2*L873)*(1+M873)</f>
        <v>954.30029999999999</v>
      </c>
      <c r="D873" s="1">
        <v>9</v>
      </c>
      <c r="E873" s="1">
        <v>5</v>
      </c>
      <c r="F873" s="1">
        <v>4</v>
      </c>
      <c r="G873" s="1">
        <f>SUMIFS($S$2:$S$10,$R$2:$R$10,D873)</f>
        <v>34</v>
      </c>
      <c r="H873" s="1">
        <f>SUMIFS($S$2:$S$10,$R$2:$R$10,E873)</f>
        <v>10</v>
      </c>
      <c r="I873" s="1">
        <f>SUMIFS($S$2:$S$10,$R$2:$R$10,F873)</f>
        <v>7</v>
      </c>
      <c r="J873" s="1">
        <f>SUM(G873:I873)</f>
        <v>51</v>
      </c>
      <c r="K873" s="1">
        <f>SUMIFS($U$2:$U$10,$R$2:$R$10,E873)</f>
        <v>7.0000000000000007E-2</v>
      </c>
      <c r="L873" s="1">
        <f>SUMIFS($V$2:$V$10,$R$2:$R$10,F873)</f>
        <v>0.04</v>
      </c>
      <c r="M873" s="1">
        <f>SUMIFS($T$2:$T$10,$R$2:$R$10,D873)</f>
        <v>0.49</v>
      </c>
    </row>
    <row r="874" spans="1:13" x14ac:dyDescent="0.25">
      <c r="A874" s="1">
        <f>(A$2+A$2*K874+A$2*L874)*(1+M874)</f>
        <v>780.64080000000013</v>
      </c>
      <c r="B874" s="1">
        <f>(B$2+B$2*K874+B$2*L874)*(1+M874)</f>
        <v>907.99109999999996</v>
      </c>
      <c r="C874" s="1">
        <f>(C$2+C$2*K874+C$2*L874)*(1+M874)</f>
        <v>954.30029999999988</v>
      </c>
      <c r="D874" s="1">
        <v>9</v>
      </c>
      <c r="E874" s="1">
        <v>6</v>
      </c>
      <c r="F874" s="1">
        <v>2</v>
      </c>
      <c r="G874" s="1">
        <f>SUMIFS($S$2:$S$10,$R$2:$R$10,D874)</f>
        <v>34</v>
      </c>
      <c r="H874" s="1">
        <f>SUMIFS($S$2:$S$10,$R$2:$R$10,E874)</f>
        <v>15</v>
      </c>
      <c r="I874" s="1">
        <f>SUMIFS($S$2:$S$10,$R$2:$R$10,F874)</f>
        <v>2</v>
      </c>
      <c r="J874" s="1">
        <f>SUM(G874:I874)</f>
        <v>51</v>
      </c>
      <c r="K874" s="1">
        <f>SUMIFS($U$2:$U$10,$R$2:$R$10,E874)</f>
        <v>0.09</v>
      </c>
      <c r="L874" s="1">
        <f>SUMIFS($V$2:$V$10,$R$2:$R$10,F874)</f>
        <v>0.02</v>
      </c>
      <c r="M874" s="1">
        <f>SUMIFS($T$2:$T$10,$R$2:$R$10,D874)</f>
        <v>0.49</v>
      </c>
    </row>
    <row r="875" spans="1:13" x14ac:dyDescent="0.25">
      <c r="A875" s="3">
        <f>(A$2+A$2*M875+A$2*L875)*(1+K875)</f>
        <v>674.01599999999996</v>
      </c>
      <c r="B875" s="3">
        <f>(B$2+B$2*M875+B$2*L875)*(1+K875)</f>
        <v>783.97199999999987</v>
      </c>
      <c r="C875" s="3">
        <f>(C$2+C$2*M875+C$2*L875)*(1+K875)</f>
        <v>823.9559999999999</v>
      </c>
      <c r="D875" s="3">
        <v>8</v>
      </c>
      <c r="E875" s="3">
        <v>3</v>
      </c>
      <c r="F875" s="3">
        <v>7</v>
      </c>
      <c r="G875" s="3">
        <f>SUMIFS($S$2:$S$10,$R$2:$R$10,D875)</f>
        <v>27</v>
      </c>
      <c r="H875" s="3">
        <f>SUMIFS($S$2:$S$10,$R$2:$R$10,E875)</f>
        <v>4</v>
      </c>
      <c r="I875" s="3">
        <f>SUMIFS($S$2:$S$10,$R$2:$R$10,F875)</f>
        <v>20</v>
      </c>
      <c r="J875" s="3">
        <f>SUM(G875:I875)</f>
        <v>51</v>
      </c>
      <c r="K875" s="3">
        <f>SUMIFS($T$2:$T$10,$R$2:$R$10,E875)</f>
        <v>0.19</v>
      </c>
      <c r="L875" s="3">
        <f>SUMIFS($V$2:$V$10,$R$2:$R$10,F875)</f>
        <v>7.0000000000000007E-2</v>
      </c>
      <c r="M875" s="3">
        <f>SUMIFS($U$2:$U$10,$R$2:$R$10,D875)</f>
        <v>0.13</v>
      </c>
    </row>
    <row r="876" spans="1:13" x14ac:dyDescent="0.25">
      <c r="A876" s="3">
        <f>(A$2+A$2*M876+A$2*L876)*(1+K876)</f>
        <v>750.10239999999999</v>
      </c>
      <c r="B876" s="3">
        <f>(B$2+B$2*M876+B$2*L876)*(1+K876)</f>
        <v>872.47080000000017</v>
      </c>
      <c r="C876" s="3">
        <f>(C$2+C$2*M876+C$2*L876)*(1+K876)</f>
        <v>916.96839999999997</v>
      </c>
      <c r="D876" s="3">
        <v>8</v>
      </c>
      <c r="E876" s="3">
        <v>7</v>
      </c>
      <c r="F876" s="3">
        <v>3</v>
      </c>
      <c r="G876" s="3">
        <f>SUMIFS($S$2:$S$10,$R$2:$R$10,D876)</f>
        <v>27</v>
      </c>
      <c r="H876" s="3">
        <f>SUMIFS($S$2:$S$10,$R$2:$R$10,E876)</f>
        <v>20</v>
      </c>
      <c r="I876" s="3">
        <f>SUMIFS($S$2:$S$10,$R$2:$R$10,F876)</f>
        <v>4</v>
      </c>
      <c r="J876" s="3">
        <f>SUM(G876:I876)</f>
        <v>51</v>
      </c>
      <c r="K876" s="3">
        <f>SUMIFS($T$2:$T$10,$R$2:$R$10,E876)</f>
        <v>0.37</v>
      </c>
      <c r="L876" s="3">
        <f>SUMIFS($V$2:$V$10,$R$2:$R$10,F876)</f>
        <v>0.03</v>
      </c>
      <c r="M876" s="3">
        <f>SUMIFS($U$2:$U$10,$R$2:$R$10,D876)</f>
        <v>0.13</v>
      </c>
    </row>
    <row r="877" spans="1:13" x14ac:dyDescent="0.25">
      <c r="A877" s="3">
        <f>(A$2+A$2*M877+A$2*L877)*(1+K877)</f>
        <v>662.49919999999997</v>
      </c>
      <c r="B877" s="3">
        <f>(B$2+B$2*M877+B$2*L877)*(1+K877)</f>
        <v>770.57639999999992</v>
      </c>
      <c r="C877" s="3">
        <f>(C$2+C$2*M877+C$2*L877)*(1+K877)</f>
        <v>809.8771999999999</v>
      </c>
      <c r="D877" s="3">
        <v>9</v>
      </c>
      <c r="E877" s="3">
        <v>2</v>
      </c>
      <c r="F877" s="3">
        <v>6</v>
      </c>
      <c r="G877" s="3">
        <f>SUMIFS($S$2:$S$10,$R$2:$R$10,D877)</f>
        <v>34</v>
      </c>
      <c r="H877" s="3">
        <f>SUMIFS($S$2:$S$10,$R$2:$R$10,E877)</f>
        <v>2</v>
      </c>
      <c r="I877" s="3">
        <f>SUMIFS($S$2:$S$10,$R$2:$R$10,F877)</f>
        <v>15</v>
      </c>
      <c r="J877" s="3">
        <f>SUM(G877:I877)</f>
        <v>51</v>
      </c>
      <c r="K877" s="3">
        <f>SUMIFS($T$2:$T$10,$R$2:$R$10,E877)</f>
        <v>0.16</v>
      </c>
      <c r="L877" s="3">
        <f>SUMIFS($V$2:$V$10,$R$2:$R$10,F877)</f>
        <v>0.06</v>
      </c>
      <c r="M877" s="3">
        <f>SUMIFS($U$2:$U$10,$R$2:$R$10,D877)</f>
        <v>0.15</v>
      </c>
    </row>
    <row r="878" spans="1:13" x14ac:dyDescent="0.25">
      <c r="A878" s="3">
        <f>(A$2+A$2*M878+A$2*L878)*(1+K878)</f>
        <v>691.00799999999992</v>
      </c>
      <c r="B878" s="3">
        <f>(B$2+B$2*M878+B$2*L878)*(1+K878)</f>
        <v>803.7360000000001</v>
      </c>
      <c r="C878" s="3">
        <f>(C$2+C$2*M878+C$2*L878)*(1+K878)</f>
        <v>844.72799999999995</v>
      </c>
      <c r="D878" s="3">
        <v>9</v>
      </c>
      <c r="E878" s="3">
        <v>4</v>
      </c>
      <c r="F878" s="3">
        <v>5</v>
      </c>
      <c r="G878" s="3">
        <f>SUMIFS($S$2:$S$10,$R$2:$R$10,D878)</f>
        <v>34</v>
      </c>
      <c r="H878" s="3">
        <f>SUMIFS($S$2:$S$10,$R$2:$R$10,E878)</f>
        <v>7</v>
      </c>
      <c r="I878" s="3">
        <f>SUMIFS($S$2:$S$10,$R$2:$R$10,F878)</f>
        <v>10</v>
      </c>
      <c r="J878" s="3">
        <f>SUM(G878:I878)</f>
        <v>51</v>
      </c>
      <c r="K878" s="3">
        <f>SUMIFS($T$2:$T$10,$R$2:$R$10,E878)</f>
        <v>0.22</v>
      </c>
      <c r="L878" s="3">
        <f>SUMIFS($V$2:$V$10,$R$2:$R$10,F878)</f>
        <v>0.05</v>
      </c>
      <c r="M878" s="3">
        <f>SUMIFS($U$2:$U$10,$R$2:$R$10,D878)</f>
        <v>0.15</v>
      </c>
    </row>
    <row r="879" spans="1:13" x14ac:dyDescent="0.25">
      <c r="A879" s="3">
        <f>(A$2+A$2*M879+A$2*L879)*(1+K879)</f>
        <v>713.33359999999993</v>
      </c>
      <c r="B879" s="3">
        <f>(B$2+B$2*M879+B$2*L879)*(1+K879)</f>
        <v>829.70370000000014</v>
      </c>
      <c r="C879" s="3">
        <f>(C$2+C$2*M879+C$2*L879)*(1+K879)</f>
        <v>872.02009999999996</v>
      </c>
      <c r="D879" s="3">
        <v>9</v>
      </c>
      <c r="E879" s="3">
        <v>5</v>
      </c>
      <c r="F879" s="3">
        <v>4</v>
      </c>
      <c r="G879" s="3">
        <f>SUMIFS($S$2:$S$10,$R$2:$R$10,D879)</f>
        <v>34</v>
      </c>
      <c r="H879" s="3">
        <f>SUMIFS($S$2:$S$10,$R$2:$R$10,E879)</f>
        <v>10</v>
      </c>
      <c r="I879" s="3">
        <f>SUMIFS($S$2:$S$10,$R$2:$R$10,F879)</f>
        <v>7</v>
      </c>
      <c r="J879" s="3">
        <f>SUM(G879:I879)</f>
        <v>51</v>
      </c>
      <c r="K879" s="3">
        <f>SUMIFS($T$2:$T$10,$R$2:$R$10,E879)</f>
        <v>0.27</v>
      </c>
      <c r="L879" s="3">
        <f>SUMIFS($V$2:$V$10,$R$2:$R$10,F879)</f>
        <v>0.04</v>
      </c>
      <c r="M879" s="3">
        <f>SUMIFS($U$2:$U$10,$R$2:$R$10,D879)</f>
        <v>0.15</v>
      </c>
    </row>
    <row r="880" spans="1:13" x14ac:dyDescent="0.25">
      <c r="A880" s="3">
        <f>(A$2+A$2*M880+A$2*L880)*(1+K880)</f>
        <v>728.95680000000004</v>
      </c>
      <c r="B880" s="3">
        <f>(B$2+B$2*M880+B$2*L880)*(1+K880)</f>
        <v>847.87560000000008</v>
      </c>
      <c r="C880" s="3">
        <f>(C$2+C$2*M880+C$2*L880)*(1+K880)</f>
        <v>891.11879999999996</v>
      </c>
      <c r="D880" s="3">
        <v>9</v>
      </c>
      <c r="E880" s="3">
        <v>6</v>
      </c>
      <c r="F880" s="3">
        <v>2</v>
      </c>
      <c r="G880" s="3">
        <f>SUMIFS($S$2:$S$10,$R$2:$R$10,D880)</f>
        <v>34</v>
      </c>
      <c r="H880" s="3">
        <f>SUMIFS($S$2:$S$10,$R$2:$R$10,E880)</f>
        <v>15</v>
      </c>
      <c r="I880" s="3">
        <f>SUMIFS($S$2:$S$10,$R$2:$R$10,F880)</f>
        <v>2</v>
      </c>
      <c r="J880" s="3">
        <f>SUM(G880:I880)</f>
        <v>51</v>
      </c>
      <c r="K880" s="3">
        <f>SUMIFS($T$2:$T$10,$R$2:$R$10,E880)</f>
        <v>0.32</v>
      </c>
      <c r="L880" s="3">
        <f>SUMIFS($V$2:$V$10,$R$2:$R$10,F880)</f>
        <v>0.02</v>
      </c>
      <c r="M880" s="3">
        <f>SUMIFS($U$2:$U$10,$R$2:$R$10,D880)</f>
        <v>0.15</v>
      </c>
    </row>
    <row r="881" spans="1:13" x14ac:dyDescent="0.25">
      <c r="A881" s="2">
        <f>(A$2+A$2*K881+A$2*M881)*(1+L881)</f>
        <v>717.77040000000011</v>
      </c>
      <c r="B881" s="2">
        <f>(B$2+B$2*K881+B$2*M881)*(1+L881)</f>
        <v>834.86430000000007</v>
      </c>
      <c r="C881" s="2">
        <f>(C$2+C$2*K881+C$2*M881)*(1+L881)</f>
        <v>877.44389999999999</v>
      </c>
      <c r="D881" s="2">
        <v>8</v>
      </c>
      <c r="E881" s="2">
        <v>3</v>
      </c>
      <c r="F881" s="2">
        <v>7</v>
      </c>
      <c r="G881" s="2">
        <f>SUMIFS($S$2:$S$10,$R$2:$R$10,D881)</f>
        <v>27</v>
      </c>
      <c r="H881" s="2">
        <f>SUMIFS($S$2:$S$10,$R$2:$R$10,E881)</f>
        <v>4</v>
      </c>
      <c r="I881" s="2">
        <f>SUMIFS($S$2:$S$10,$R$2:$R$10,F881)</f>
        <v>20</v>
      </c>
      <c r="J881" s="2">
        <f>SUM(G881:I881)</f>
        <v>51</v>
      </c>
      <c r="K881" s="2">
        <f>SUMIFS($U$2:$U$10,$R$2:$R$10,E881)</f>
        <v>0.03</v>
      </c>
      <c r="L881" s="2">
        <f>SUMIFS($T$2:$T$10,$R$2:$R$10,F881)</f>
        <v>0.37</v>
      </c>
      <c r="M881" s="2">
        <f>SUMIFS($V$2:$V$10,$R$2:$R$10,D881)</f>
        <v>0.08</v>
      </c>
    </row>
    <row r="882" spans="1:13" x14ac:dyDescent="0.25">
      <c r="A882" s="2">
        <f>(A$2+A$2*K882+A$2*M882)*(1+L882)</f>
        <v>668.39919999999995</v>
      </c>
      <c r="B882" s="2">
        <f>(B$2+B$2*K882+B$2*M882)*(1+L882)</f>
        <v>777.43889999999988</v>
      </c>
      <c r="C882" s="2">
        <f>(C$2+C$2*K882+C$2*M882)*(1+L882)</f>
        <v>817.08969999999999</v>
      </c>
      <c r="D882" s="2">
        <v>8</v>
      </c>
      <c r="E882" s="2">
        <v>7</v>
      </c>
      <c r="F882" s="2">
        <v>3</v>
      </c>
      <c r="G882" s="2">
        <f>SUMIFS($S$2:$S$10,$R$2:$R$10,D882)</f>
        <v>27</v>
      </c>
      <c r="H882" s="2">
        <f>SUMIFS($S$2:$S$10,$R$2:$R$10,E882)</f>
        <v>20</v>
      </c>
      <c r="I882" s="2">
        <f>SUMIFS($S$2:$S$10,$R$2:$R$10,F882)</f>
        <v>4</v>
      </c>
      <c r="J882" s="2">
        <f>SUM(G882:I882)</f>
        <v>51</v>
      </c>
      <c r="K882" s="2">
        <f>SUMIFS($U$2:$U$10,$R$2:$R$10,E882)</f>
        <v>0.11</v>
      </c>
      <c r="L882" s="2">
        <f>SUMIFS($T$2:$T$10,$R$2:$R$10,F882)</f>
        <v>0.19</v>
      </c>
      <c r="M882" s="2">
        <f>SUMIFS($V$2:$V$10,$R$2:$R$10,D882)</f>
        <v>0.08</v>
      </c>
    </row>
    <row r="883" spans="1:13" x14ac:dyDescent="0.25">
      <c r="A883" s="2">
        <f>(A$2+A$2*K883+A$2*M883)*(1+L883)</f>
        <v>691.57439999999997</v>
      </c>
      <c r="B883" s="2">
        <f>(B$2+B$2*K883+B$2*M883)*(1+L883)</f>
        <v>804.39480000000003</v>
      </c>
      <c r="C883" s="2">
        <f>(C$2+C$2*K883+C$2*M883)*(1+L883)</f>
        <v>845.42039999999997</v>
      </c>
      <c r="D883" s="2">
        <v>9</v>
      </c>
      <c r="E883" s="2">
        <v>2</v>
      </c>
      <c r="F883" s="2">
        <v>6</v>
      </c>
      <c r="G883" s="2">
        <f>SUMIFS($S$2:$S$10,$R$2:$R$10,D883)</f>
        <v>34</v>
      </c>
      <c r="H883" s="2">
        <f>SUMIFS($S$2:$S$10,$R$2:$R$10,E883)</f>
        <v>2</v>
      </c>
      <c r="I883" s="2">
        <f>SUMIFS($S$2:$S$10,$R$2:$R$10,F883)</f>
        <v>15</v>
      </c>
      <c r="J883" s="2">
        <f>SUM(G883:I883)</f>
        <v>51</v>
      </c>
      <c r="K883" s="2">
        <f>SUMIFS($U$2:$U$10,$R$2:$R$10,E883)</f>
        <v>0.02</v>
      </c>
      <c r="L883" s="2">
        <f>SUMIFS($T$2:$T$10,$R$2:$R$10,F883)</f>
        <v>0.32</v>
      </c>
      <c r="M883" s="2">
        <f>SUMIFS($V$2:$V$10,$R$2:$R$10,D883)</f>
        <v>0.09</v>
      </c>
    </row>
    <row r="884" spans="1:13" x14ac:dyDescent="0.25">
      <c r="A884" s="2">
        <f>(A$2+A$2*K884+A$2*M884)*(1+L884)</f>
        <v>683.36160000000007</v>
      </c>
      <c r="B884" s="2">
        <f>(B$2+B$2*K884+B$2*M884)*(1+L884)</f>
        <v>794.84220000000005</v>
      </c>
      <c r="C884" s="2">
        <f>(C$2+C$2*K884+C$2*M884)*(1+L884)</f>
        <v>835.38059999999996</v>
      </c>
      <c r="D884" s="2">
        <v>9</v>
      </c>
      <c r="E884" s="2">
        <v>4</v>
      </c>
      <c r="F884" s="2">
        <v>5</v>
      </c>
      <c r="G884" s="2">
        <f>SUMIFS($S$2:$S$10,$R$2:$R$10,D884)</f>
        <v>34</v>
      </c>
      <c r="H884" s="2">
        <f>SUMIFS($S$2:$S$10,$R$2:$R$10,E884)</f>
        <v>7</v>
      </c>
      <c r="I884" s="2">
        <f>SUMIFS($S$2:$S$10,$R$2:$R$10,F884)</f>
        <v>10</v>
      </c>
      <c r="J884" s="2">
        <f>SUM(G884:I884)</f>
        <v>51</v>
      </c>
      <c r="K884" s="2">
        <f>SUMIFS($U$2:$U$10,$R$2:$R$10,E884)</f>
        <v>0.05</v>
      </c>
      <c r="L884" s="2">
        <f>SUMIFS($T$2:$T$10,$R$2:$R$10,F884)</f>
        <v>0.27</v>
      </c>
      <c r="M884" s="2">
        <f>SUMIFS($V$2:$V$10,$R$2:$R$10,D884)</f>
        <v>0.09</v>
      </c>
    </row>
    <row r="885" spans="1:13" x14ac:dyDescent="0.25">
      <c r="A885" s="2">
        <f>(A$2+A$2*K885+A$2*M885)*(1+L885)</f>
        <v>667.97439999999995</v>
      </c>
      <c r="B885" s="2">
        <f>(B$2+B$2*K885+B$2*M885)*(1+L885)</f>
        <v>776.94479999999999</v>
      </c>
      <c r="C885" s="2">
        <f>(C$2+C$2*K885+C$2*M885)*(1+L885)</f>
        <v>816.57039999999995</v>
      </c>
      <c r="D885" s="2">
        <v>9</v>
      </c>
      <c r="E885" s="2">
        <v>5</v>
      </c>
      <c r="F885" s="2">
        <v>4</v>
      </c>
      <c r="G885" s="2">
        <f>SUMIFS($S$2:$S$10,$R$2:$R$10,D885)</f>
        <v>34</v>
      </c>
      <c r="H885" s="2">
        <f>SUMIFS($S$2:$S$10,$R$2:$R$10,E885)</f>
        <v>10</v>
      </c>
      <c r="I885" s="2">
        <f>SUMIFS($S$2:$S$10,$R$2:$R$10,F885)</f>
        <v>7</v>
      </c>
      <c r="J885" s="2">
        <f>SUM(G885:I885)</f>
        <v>51</v>
      </c>
      <c r="K885" s="2">
        <f>SUMIFS($U$2:$U$10,$R$2:$R$10,E885)</f>
        <v>7.0000000000000007E-2</v>
      </c>
      <c r="L885" s="2">
        <f>SUMIFS($T$2:$T$10,$R$2:$R$10,F885)</f>
        <v>0.22</v>
      </c>
      <c r="M885" s="2">
        <f>SUMIFS($V$2:$V$10,$R$2:$R$10,D885)</f>
        <v>0.09</v>
      </c>
    </row>
    <row r="886" spans="1:13" x14ac:dyDescent="0.25">
      <c r="A886" s="2">
        <f>(A$2+A$2*K886+A$2*M886)*(1+L886)</f>
        <v>646.07359999999994</v>
      </c>
      <c r="B886" s="2">
        <f>(B$2+B$2*K886+B$2*M886)*(1+L886)</f>
        <v>751.47119999999984</v>
      </c>
      <c r="C886" s="2">
        <f>(C$2+C$2*K886+C$2*M886)*(1+L886)</f>
        <v>789.79759999999987</v>
      </c>
      <c r="D886" s="2">
        <v>9</v>
      </c>
      <c r="E886" s="2">
        <v>6</v>
      </c>
      <c r="F886" s="2">
        <v>2</v>
      </c>
      <c r="G886" s="2">
        <f>SUMIFS($S$2:$S$10,$R$2:$R$10,D886)</f>
        <v>34</v>
      </c>
      <c r="H886" s="2">
        <f>SUMIFS($S$2:$S$10,$R$2:$R$10,E886)</f>
        <v>15</v>
      </c>
      <c r="I886" s="2">
        <f>SUMIFS($S$2:$S$10,$R$2:$R$10,F886)</f>
        <v>2</v>
      </c>
      <c r="J886" s="2">
        <f>SUM(G886:I886)</f>
        <v>51</v>
      </c>
      <c r="K886" s="2">
        <f>SUMIFS($U$2:$U$10,$R$2:$R$10,E886)</f>
        <v>0.09</v>
      </c>
      <c r="L886" s="2">
        <f>SUMIFS($T$2:$T$10,$R$2:$R$10,F886)</f>
        <v>0.16</v>
      </c>
      <c r="M886" s="2">
        <f>SUMIFS($V$2:$V$10,$R$2:$R$10,D886)</f>
        <v>0.09</v>
      </c>
    </row>
    <row r="887" spans="1:13" x14ac:dyDescent="0.25">
      <c r="A887" s="1">
        <f>(A$2+A$2*K887+A$2*L887)*(1+M887)</f>
        <v>762.70479999999998</v>
      </c>
      <c r="B887" s="1">
        <f>(B$2+B$2*K887+B$2*L887)*(1+M887)</f>
        <v>887.12910000000011</v>
      </c>
      <c r="C887" s="1">
        <f>(C$2+C$2*K887+C$2*L887)*(1+M887)</f>
        <v>932.37429999999995</v>
      </c>
      <c r="D887" s="1">
        <v>8</v>
      </c>
      <c r="E887" s="1">
        <v>5</v>
      </c>
      <c r="F887" s="1">
        <v>6</v>
      </c>
      <c r="G887" s="1">
        <f>SUMIFS($S$2:$S$10,$R$2:$R$10,D887)</f>
        <v>27</v>
      </c>
      <c r="H887" s="1">
        <f>SUMIFS($S$2:$S$10,$R$2:$R$10,E887)</f>
        <v>10</v>
      </c>
      <c r="I887" s="1">
        <f>SUMIFS($S$2:$S$10,$R$2:$R$10,F887)</f>
        <v>15</v>
      </c>
      <c r="J887" s="1">
        <f>SUM(G887:I887)</f>
        <v>52</v>
      </c>
      <c r="K887" s="1">
        <f>SUMIFS($U$2:$U$10,$R$2:$R$10,E887)</f>
        <v>7.0000000000000007E-2</v>
      </c>
      <c r="L887" s="1">
        <f>SUMIFS($V$2:$V$10,$R$2:$R$10,F887)</f>
        <v>0.06</v>
      </c>
      <c r="M887" s="1">
        <f>SUMIFS($T$2:$T$10,$R$2:$R$10,D887)</f>
        <v>0.43</v>
      </c>
    </row>
    <row r="888" spans="1:13" x14ac:dyDescent="0.25">
      <c r="A888" s="1">
        <f>(A$2+A$2*K888+A$2*L888)*(1+M888)</f>
        <v>769.45440000000008</v>
      </c>
      <c r="B888" s="1">
        <f>(B$2+B$2*K888+B$2*L888)*(1+M888)</f>
        <v>894.97979999999995</v>
      </c>
      <c r="C888" s="1">
        <f>(C$2+C$2*K888+C$2*L888)*(1+M888)</f>
        <v>940.6253999999999</v>
      </c>
      <c r="D888" s="1">
        <v>8</v>
      </c>
      <c r="E888" s="1">
        <v>6</v>
      </c>
      <c r="F888" s="1">
        <v>5</v>
      </c>
      <c r="G888" s="1">
        <f>SUMIFS($S$2:$S$10,$R$2:$R$10,D888)</f>
        <v>27</v>
      </c>
      <c r="H888" s="1">
        <f>SUMIFS($S$2:$S$10,$R$2:$R$10,E888)</f>
        <v>15</v>
      </c>
      <c r="I888" s="1">
        <f>SUMIFS($S$2:$S$10,$R$2:$R$10,F888)</f>
        <v>10</v>
      </c>
      <c r="J888" s="1">
        <f>SUM(G888:I888)</f>
        <v>52</v>
      </c>
      <c r="K888" s="1">
        <f>SUMIFS($U$2:$U$10,$R$2:$R$10,E888)</f>
        <v>0.09</v>
      </c>
      <c r="L888" s="1">
        <f>SUMIFS($V$2:$V$10,$R$2:$R$10,F888)</f>
        <v>0.05</v>
      </c>
      <c r="M888" s="1">
        <f>SUMIFS($T$2:$T$10,$R$2:$R$10,D888)</f>
        <v>0.43</v>
      </c>
    </row>
    <row r="889" spans="1:13" x14ac:dyDescent="0.25">
      <c r="A889" s="3">
        <f>(A$2+A$2*M889+A$2*L889)*(1+K889)</f>
        <v>713.33360000000005</v>
      </c>
      <c r="B889" s="3">
        <f>(B$2+B$2*M889+B$2*L889)*(1+K889)</f>
        <v>829.70369999999991</v>
      </c>
      <c r="C889" s="3">
        <f>(C$2+C$2*M889+C$2*L889)*(1+K889)</f>
        <v>872.02009999999996</v>
      </c>
      <c r="D889" s="3">
        <v>8</v>
      </c>
      <c r="E889" s="3">
        <v>5</v>
      </c>
      <c r="F889" s="3">
        <v>6</v>
      </c>
      <c r="G889" s="3">
        <f>SUMIFS($S$2:$S$10,$R$2:$R$10,D889)</f>
        <v>27</v>
      </c>
      <c r="H889" s="3">
        <f>SUMIFS($S$2:$S$10,$R$2:$R$10,E889)</f>
        <v>10</v>
      </c>
      <c r="I889" s="3">
        <f>SUMIFS($S$2:$S$10,$R$2:$R$10,F889)</f>
        <v>15</v>
      </c>
      <c r="J889" s="3">
        <f>SUM(G889:I889)</f>
        <v>52</v>
      </c>
      <c r="K889" s="3">
        <f>SUMIFS($T$2:$T$10,$R$2:$R$10,E889)</f>
        <v>0.27</v>
      </c>
      <c r="L889" s="3">
        <f>SUMIFS($V$2:$V$10,$R$2:$R$10,F889)</f>
        <v>0.06</v>
      </c>
      <c r="M889" s="3">
        <f>SUMIFS($U$2:$U$10,$R$2:$R$10,D889)</f>
        <v>0.13</v>
      </c>
    </row>
    <row r="890" spans="1:13" x14ac:dyDescent="0.25">
      <c r="A890" s="3">
        <f>(A$2+A$2*M890+A$2*L890)*(1+K890)</f>
        <v>735.18720000000008</v>
      </c>
      <c r="B890" s="3">
        <f>(B$2+B$2*M890+B$2*L890)*(1+K890)</f>
        <v>855.12240000000008</v>
      </c>
      <c r="C890" s="3">
        <f>(C$2+C$2*M890+C$2*L890)*(1+K890)</f>
        <v>898.73520000000008</v>
      </c>
      <c r="D890" s="3">
        <v>8</v>
      </c>
      <c r="E890" s="3">
        <v>6</v>
      </c>
      <c r="F890" s="3">
        <v>5</v>
      </c>
      <c r="G890" s="3">
        <f>SUMIFS($S$2:$S$10,$R$2:$R$10,D890)</f>
        <v>27</v>
      </c>
      <c r="H890" s="3">
        <f>SUMIFS($S$2:$S$10,$R$2:$R$10,E890)</f>
        <v>15</v>
      </c>
      <c r="I890" s="3">
        <f>SUMIFS($S$2:$S$10,$R$2:$R$10,F890)</f>
        <v>10</v>
      </c>
      <c r="J890" s="3">
        <f>SUM(G890:I890)</f>
        <v>52</v>
      </c>
      <c r="K890" s="3">
        <f>SUMIFS($T$2:$T$10,$R$2:$R$10,E890)</f>
        <v>0.32</v>
      </c>
      <c r="L890" s="3">
        <f>SUMIFS($V$2:$V$10,$R$2:$R$10,F890)</f>
        <v>0.05</v>
      </c>
      <c r="M890" s="3">
        <f>SUMIFS($U$2:$U$10,$R$2:$R$10,D890)</f>
        <v>0.13</v>
      </c>
    </row>
    <row r="891" spans="1:13" x14ac:dyDescent="0.25">
      <c r="A891" s="2">
        <f>(A$2+A$2*K891+A$2*M891)*(1+L891)</f>
        <v>716.49600000000009</v>
      </c>
      <c r="B891" s="2">
        <f>(B$2+B$2*K891+B$2*M891)*(1+L891)</f>
        <v>833.38200000000006</v>
      </c>
      <c r="C891" s="2">
        <f>(C$2+C$2*K891+C$2*M891)*(1+L891)</f>
        <v>875.88599999999997</v>
      </c>
      <c r="D891" s="2">
        <v>8</v>
      </c>
      <c r="E891" s="2">
        <v>5</v>
      </c>
      <c r="F891" s="2">
        <v>6</v>
      </c>
      <c r="G891" s="2">
        <f>SUMIFS($S$2:$S$10,$R$2:$R$10,D891)</f>
        <v>27</v>
      </c>
      <c r="H891" s="2">
        <f>SUMIFS($S$2:$S$10,$R$2:$R$10,E891)</f>
        <v>10</v>
      </c>
      <c r="I891" s="2">
        <f>SUMIFS($S$2:$S$10,$R$2:$R$10,F891)</f>
        <v>15</v>
      </c>
      <c r="J891" s="2">
        <f>SUM(G891:I891)</f>
        <v>52</v>
      </c>
      <c r="K891" s="2">
        <f>SUMIFS($U$2:$U$10,$R$2:$R$10,E891)</f>
        <v>7.0000000000000007E-2</v>
      </c>
      <c r="L891" s="2">
        <f>SUMIFS($T$2:$T$10,$R$2:$R$10,F891)</f>
        <v>0.32</v>
      </c>
      <c r="M891" s="2">
        <f>SUMIFS($V$2:$V$10,$R$2:$R$10,D891)</f>
        <v>0.08</v>
      </c>
    </row>
    <row r="892" spans="1:13" x14ac:dyDescent="0.25">
      <c r="A892" s="2">
        <f>(A$2+A$2*K892+A$2*M892)*(1+L892)</f>
        <v>701.34480000000008</v>
      </c>
      <c r="B892" s="2">
        <f>(B$2+B$2*K892+B$2*M892)*(1+L892)</f>
        <v>815.75909999999988</v>
      </c>
      <c r="C892" s="2">
        <f>(C$2+C$2*K892+C$2*M892)*(1+L892)</f>
        <v>857.36429999999996</v>
      </c>
      <c r="D892" s="2">
        <v>8</v>
      </c>
      <c r="E892" s="2">
        <v>6</v>
      </c>
      <c r="F892" s="2">
        <v>5</v>
      </c>
      <c r="G892" s="2">
        <f>SUMIFS($S$2:$S$10,$R$2:$R$10,D892)</f>
        <v>27</v>
      </c>
      <c r="H892" s="2">
        <f>SUMIFS($S$2:$S$10,$R$2:$R$10,E892)</f>
        <v>15</v>
      </c>
      <c r="I892" s="2">
        <f>SUMIFS($S$2:$S$10,$R$2:$R$10,F892)</f>
        <v>10</v>
      </c>
      <c r="J892" s="2">
        <f>SUM(G892:I892)</f>
        <v>52</v>
      </c>
      <c r="K892" s="2">
        <f>SUMIFS($U$2:$U$10,$R$2:$R$10,E892)</f>
        <v>0.09</v>
      </c>
      <c r="L892" s="2">
        <f>SUMIFS($T$2:$T$10,$R$2:$R$10,F892)</f>
        <v>0.27</v>
      </c>
      <c r="M892" s="2">
        <f>SUMIFS($V$2:$V$10,$R$2:$R$10,D892)</f>
        <v>0.08</v>
      </c>
    </row>
    <row r="893" spans="1:13" x14ac:dyDescent="0.25">
      <c r="A893" s="1">
        <f>(A$2+A$2*K893+A$2*L893)*(1+M893)</f>
        <v>766.5752</v>
      </c>
      <c r="B893" s="1">
        <f>(B$2+B$2*K893+B$2*L893)*(1+M893)</f>
        <v>891.63090000000011</v>
      </c>
      <c r="C893" s="1">
        <f>(C$2+C$2*K893+C$2*L893)*(1+M893)</f>
        <v>937.10569999999996</v>
      </c>
      <c r="D893" s="1">
        <v>9</v>
      </c>
      <c r="E893" s="1">
        <v>3</v>
      </c>
      <c r="F893" s="1">
        <v>6</v>
      </c>
      <c r="G893" s="1">
        <f>SUMIFS($S$2:$S$10,$R$2:$R$10,D893)</f>
        <v>34</v>
      </c>
      <c r="H893" s="1">
        <f>SUMIFS($S$2:$S$10,$R$2:$R$10,E893)</f>
        <v>4</v>
      </c>
      <c r="I893" s="1">
        <f>SUMIFS($S$2:$S$10,$R$2:$R$10,F893)</f>
        <v>15</v>
      </c>
      <c r="J893" s="1">
        <f>SUM(G893:I893)</f>
        <v>53</v>
      </c>
      <c r="K893" s="1">
        <f>SUMIFS($U$2:$U$10,$R$2:$R$10,E893)</f>
        <v>0.03</v>
      </c>
      <c r="L893" s="1">
        <f>SUMIFS($V$2:$V$10,$R$2:$R$10,F893)</f>
        <v>0.06</v>
      </c>
      <c r="M893" s="1">
        <f>SUMIFS($T$2:$T$10,$R$2:$R$10,D893)</f>
        <v>0.49</v>
      </c>
    </row>
    <row r="894" spans="1:13" x14ac:dyDescent="0.25">
      <c r="A894" s="1">
        <f>(A$2+A$2*K894+A$2*L894)*(1+M894)</f>
        <v>787.67359999999996</v>
      </c>
      <c r="B894" s="1">
        <f>(B$2+B$2*K894+B$2*L894)*(1+M894)</f>
        <v>916.1712</v>
      </c>
      <c r="C894" s="1">
        <f>(C$2+C$2*K894+C$2*L894)*(1+M894)</f>
        <v>962.89759999999978</v>
      </c>
      <c r="D894" s="1">
        <v>9</v>
      </c>
      <c r="E894" s="1">
        <v>6</v>
      </c>
      <c r="F894" s="1">
        <v>3</v>
      </c>
      <c r="G894" s="1">
        <f>SUMIFS($S$2:$S$10,$R$2:$R$10,D894)</f>
        <v>34</v>
      </c>
      <c r="H894" s="1">
        <f>SUMIFS($S$2:$S$10,$R$2:$R$10,E894)</f>
        <v>15</v>
      </c>
      <c r="I894" s="1">
        <f>SUMIFS($S$2:$S$10,$R$2:$R$10,F894)</f>
        <v>4</v>
      </c>
      <c r="J894" s="1">
        <f>SUM(G894:I894)</f>
        <v>53</v>
      </c>
      <c r="K894" s="1">
        <f>SUMIFS($U$2:$U$10,$R$2:$R$10,E894)</f>
        <v>0.09</v>
      </c>
      <c r="L894" s="1">
        <f>SUMIFS($V$2:$V$10,$R$2:$R$10,F894)</f>
        <v>0.03</v>
      </c>
      <c r="M894" s="1">
        <f>SUMIFS($T$2:$T$10,$R$2:$R$10,D894)</f>
        <v>0.49</v>
      </c>
    </row>
    <row r="895" spans="1:13" x14ac:dyDescent="0.25">
      <c r="A895" s="3">
        <f>(A$2+A$2*M895+A$2*L895)*(1+K895)</f>
        <v>679.63279999999997</v>
      </c>
      <c r="B895" s="3">
        <f>(B$2+B$2*M895+B$2*L895)*(1+K895)</f>
        <v>790.50509999999997</v>
      </c>
      <c r="C895" s="3">
        <f>(C$2+C$2*M895+C$2*L895)*(1+K895)</f>
        <v>830.82229999999993</v>
      </c>
      <c r="D895" s="3">
        <v>9</v>
      </c>
      <c r="E895" s="3">
        <v>3</v>
      </c>
      <c r="F895" s="3">
        <v>6</v>
      </c>
      <c r="G895" s="3">
        <f>SUMIFS($S$2:$S$10,$R$2:$R$10,D895)</f>
        <v>34</v>
      </c>
      <c r="H895" s="3">
        <f>SUMIFS($S$2:$S$10,$R$2:$R$10,E895)</f>
        <v>4</v>
      </c>
      <c r="I895" s="3">
        <f>SUMIFS($S$2:$S$10,$R$2:$R$10,F895)</f>
        <v>15</v>
      </c>
      <c r="J895" s="3">
        <f>SUM(G895:I895)</f>
        <v>53</v>
      </c>
      <c r="K895" s="3">
        <f>SUMIFS($T$2:$T$10,$R$2:$R$10,E895)</f>
        <v>0.19</v>
      </c>
      <c r="L895" s="3">
        <f>SUMIFS($V$2:$V$10,$R$2:$R$10,F895)</f>
        <v>0.06</v>
      </c>
      <c r="M895" s="3">
        <f>SUMIFS($U$2:$U$10,$R$2:$R$10,D895)</f>
        <v>0.15</v>
      </c>
    </row>
    <row r="896" spans="1:13" x14ac:dyDescent="0.25">
      <c r="A896" s="3">
        <f>(A$2+A$2*M896+A$2*L896)*(1+K896)</f>
        <v>735.18719999999996</v>
      </c>
      <c r="B896" s="3">
        <f>(B$2+B$2*M896+B$2*L896)*(1+K896)</f>
        <v>855.12240000000008</v>
      </c>
      <c r="C896" s="3">
        <f>(C$2+C$2*M896+C$2*L896)*(1+K896)</f>
        <v>898.73519999999996</v>
      </c>
      <c r="D896" s="3">
        <v>9</v>
      </c>
      <c r="E896" s="3">
        <v>6</v>
      </c>
      <c r="F896" s="3">
        <v>3</v>
      </c>
      <c r="G896" s="3">
        <f>SUMIFS($S$2:$S$10,$R$2:$R$10,D896)</f>
        <v>34</v>
      </c>
      <c r="H896" s="3">
        <f>SUMIFS($S$2:$S$10,$R$2:$R$10,E896)</f>
        <v>15</v>
      </c>
      <c r="I896" s="3">
        <f>SUMIFS($S$2:$S$10,$R$2:$R$10,F896)</f>
        <v>4</v>
      </c>
      <c r="J896" s="3">
        <f>SUM(G896:I896)</f>
        <v>53</v>
      </c>
      <c r="K896" s="3">
        <f>SUMIFS($T$2:$T$10,$R$2:$R$10,E896)</f>
        <v>0.32</v>
      </c>
      <c r="L896" s="3">
        <f>SUMIFS($V$2:$V$10,$R$2:$R$10,F896)</f>
        <v>0.03</v>
      </c>
      <c r="M896" s="3">
        <f>SUMIFS($U$2:$U$10,$R$2:$R$10,D896)</f>
        <v>0.15</v>
      </c>
    </row>
    <row r="897" spans="1:13" x14ac:dyDescent="0.25">
      <c r="A897" s="2">
        <f>(A$2+A$2*K897+A$2*M897)*(1+L897)</f>
        <v>697.8048</v>
      </c>
      <c r="B897" s="2">
        <f>(B$2+B$2*K897+B$2*M897)*(1+L897)</f>
        <v>811.64160000000004</v>
      </c>
      <c r="C897" s="2">
        <f>(C$2+C$2*K897+C$2*M897)*(1+L897)</f>
        <v>853.03679999999986</v>
      </c>
      <c r="D897" s="2">
        <v>9</v>
      </c>
      <c r="E897" s="2">
        <v>3</v>
      </c>
      <c r="F897" s="2">
        <v>6</v>
      </c>
      <c r="G897" s="2">
        <f>SUMIFS($S$2:$S$10,$R$2:$R$10,D897)</f>
        <v>34</v>
      </c>
      <c r="H897" s="2">
        <f>SUMIFS($S$2:$S$10,$R$2:$R$10,E897)</f>
        <v>4</v>
      </c>
      <c r="I897" s="2">
        <f>SUMIFS($S$2:$S$10,$R$2:$R$10,F897)</f>
        <v>15</v>
      </c>
      <c r="J897" s="2">
        <f>SUM(G897:I897)</f>
        <v>53</v>
      </c>
      <c r="K897" s="2">
        <f>SUMIFS($U$2:$U$10,$R$2:$R$10,E897)</f>
        <v>0.03</v>
      </c>
      <c r="L897" s="2">
        <f>SUMIFS($T$2:$T$10,$R$2:$R$10,F897)</f>
        <v>0.32</v>
      </c>
      <c r="M897" s="2">
        <f>SUMIFS($V$2:$V$10,$R$2:$R$10,D897)</f>
        <v>0.09</v>
      </c>
    </row>
    <row r="898" spans="1:13" x14ac:dyDescent="0.25">
      <c r="A898" s="2">
        <f>(A$2+A$2*K898+A$2*M898)*(1+L898)</f>
        <v>662.78240000000005</v>
      </c>
      <c r="B898" s="2">
        <f>(B$2+B$2*K898+B$2*M898)*(1+L898)</f>
        <v>770.90579999999989</v>
      </c>
      <c r="C898" s="2">
        <f>(C$2+C$2*K898+C$2*M898)*(1+L898)</f>
        <v>810.22339999999986</v>
      </c>
      <c r="D898" s="2">
        <v>9</v>
      </c>
      <c r="E898" s="2">
        <v>6</v>
      </c>
      <c r="F898" s="2">
        <v>3</v>
      </c>
      <c r="G898" s="2">
        <f>SUMIFS($S$2:$S$10,$R$2:$R$10,D898)</f>
        <v>34</v>
      </c>
      <c r="H898" s="2">
        <f>SUMIFS($S$2:$S$10,$R$2:$R$10,E898)</f>
        <v>15</v>
      </c>
      <c r="I898" s="2">
        <f>SUMIFS($S$2:$S$10,$R$2:$R$10,F898)</f>
        <v>4</v>
      </c>
      <c r="J898" s="2">
        <f>SUM(G898:I898)</f>
        <v>53</v>
      </c>
      <c r="K898" s="2">
        <f>SUMIFS($U$2:$U$10,$R$2:$R$10,E898)</f>
        <v>0.09</v>
      </c>
      <c r="L898" s="2">
        <f>SUMIFS($T$2:$T$10,$R$2:$R$10,F898)</f>
        <v>0.19</v>
      </c>
      <c r="M898" s="2">
        <f>SUMIFS($V$2:$V$10,$R$2:$R$10,D898)</f>
        <v>0.09</v>
      </c>
    </row>
    <row r="899" spans="1:13" x14ac:dyDescent="0.25">
      <c r="A899" s="1">
        <f>(A$2+A$2*K899+A$2*L899)*(1+M899)</f>
        <v>728.95679999999993</v>
      </c>
      <c r="B899" s="1">
        <f>(B$2+B$2*K899+B$2*L899)*(1+M899)</f>
        <v>847.87559999999985</v>
      </c>
      <c r="C899" s="1">
        <f>(C$2+C$2*K899+C$2*L899)*(1+M899)</f>
        <v>891.11879999999996</v>
      </c>
      <c r="D899" s="1">
        <v>8</v>
      </c>
      <c r="E899" s="1">
        <v>0</v>
      </c>
      <c r="F899" s="1">
        <v>8</v>
      </c>
      <c r="G899" s="1">
        <f>SUMIFS($S$2:$S$10,$R$2:$R$10,D899)</f>
        <v>27</v>
      </c>
      <c r="H899" s="1">
        <f>SUMIFS($S$2:$S$10,$R$2:$R$10,E899)</f>
        <v>0</v>
      </c>
      <c r="I899" s="1">
        <f>SUMIFS($S$2:$S$10,$R$2:$R$10,F899)</f>
        <v>27</v>
      </c>
      <c r="J899" s="1">
        <f>SUM(G899:I899)</f>
        <v>54</v>
      </c>
      <c r="K899" s="1">
        <f>SUMIFS($U$2:$U$10,$R$2:$R$10,E899)</f>
        <v>0</v>
      </c>
      <c r="L899" s="1">
        <f>SUMIFS($V$2:$V$10,$R$2:$R$10,F899)</f>
        <v>0.08</v>
      </c>
      <c r="M899" s="1">
        <f>SUMIFS($T$2:$T$10,$R$2:$R$10,D899)</f>
        <v>0.43</v>
      </c>
    </row>
    <row r="900" spans="1:13" x14ac:dyDescent="0.25">
      <c r="A900" s="1">
        <f>(A$2+A$2*K900+A$2*L900)*(1+M900)</f>
        <v>755.95519999999999</v>
      </c>
      <c r="B900" s="1">
        <f>(B$2+B$2*K900+B$2*L900)*(1+M900)</f>
        <v>879.27840000000015</v>
      </c>
      <c r="C900" s="1">
        <f>(C$2+C$2*K900+C$2*L900)*(1+M900)</f>
        <v>924.1232</v>
      </c>
      <c r="D900" s="1">
        <v>8</v>
      </c>
      <c r="E900" s="1">
        <v>4</v>
      </c>
      <c r="F900" s="1">
        <v>7</v>
      </c>
      <c r="G900" s="1">
        <f>SUMIFS($S$2:$S$10,$R$2:$R$10,D900)</f>
        <v>27</v>
      </c>
      <c r="H900" s="1">
        <f>SUMIFS($S$2:$S$10,$R$2:$R$10,E900)</f>
        <v>7</v>
      </c>
      <c r="I900" s="1">
        <f>SUMIFS($S$2:$S$10,$R$2:$R$10,F900)</f>
        <v>20</v>
      </c>
      <c r="J900" s="1">
        <f>SUM(G900:I900)</f>
        <v>54</v>
      </c>
      <c r="K900" s="1">
        <f>SUMIFS($U$2:$U$10,$R$2:$R$10,E900)</f>
        <v>0.05</v>
      </c>
      <c r="L900" s="1">
        <f>SUMIFS($V$2:$V$10,$R$2:$R$10,F900)</f>
        <v>7.0000000000000007E-2</v>
      </c>
      <c r="M900" s="1">
        <f>SUMIFS($T$2:$T$10,$R$2:$R$10,D900)</f>
        <v>0.43</v>
      </c>
    </row>
    <row r="901" spans="1:13" x14ac:dyDescent="0.25">
      <c r="A901" s="1">
        <f>(A$2+A$2*K901+A$2*L901)*(1+M901)</f>
        <v>776.20399999999995</v>
      </c>
      <c r="B901" s="1">
        <f>(B$2+B$2*K901+B$2*L901)*(1+M901)</f>
        <v>902.83050000000003</v>
      </c>
      <c r="C901" s="1">
        <f>(C$2+C$2*K901+C$2*L901)*(1+M901)</f>
        <v>948.87650000000008</v>
      </c>
      <c r="D901" s="1">
        <v>8</v>
      </c>
      <c r="E901" s="1">
        <v>7</v>
      </c>
      <c r="F901" s="1">
        <v>4</v>
      </c>
      <c r="G901" s="1">
        <f>SUMIFS($S$2:$S$10,$R$2:$R$10,D901)</f>
        <v>27</v>
      </c>
      <c r="H901" s="1">
        <f>SUMIFS($S$2:$S$10,$R$2:$R$10,E901)</f>
        <v>20</v>
      </c>
      <c r="I901" s="1">
        <f>SUMIFS($S$2:$S$10,$R$2:$R$10,F901)</f>
        <v>7</v>
      </c>
      <c r="J901" s="1">
        <f>SUM(G901:I901)</f>
        <v>54</v>
      </c>
      <c r="K901" s="1">
        <f>SUMIFS($U$2:$U$10,$R$2:$R$10,E901)</f>
        <v>0.11</v>
      </c>
      <c r="L901" s="1">
        <f>SUMIFS($V$2:$V$10,$R$2:$R$10,F901)</f>
        <v>0.04</v>
      </c>
      <c r="M901" s="1">
        <f>SUMIFS($T$2:$T$10,$R$2:$R$10,D901)</f>
        <v>0.43</v>
      </c>
    </row>
    <row r="902" spans="1:13" x14ac:dyDescent="0.25">
      <c r="A902" s="1">
        <f>(A$2+A$2*K902+A$2*L902)*(1+M902)</f>
        <v>762.70479999999998</v>
      </c>
      <c r="B902" s="1">
        <f>(B$2+B$2*K902+B$2*L902)*(1+M902)</f>
        <v>887.12909999999999</v>
      </c>
      <c r="C902" s="1">
        <f>(C$2+C$2*K902+C$2*L902)*(1+M902)</f>
        <v>932.37429999999995</v>
      </c>
      <c r="D902" s="1">
        <v>8</v>
      </c>
      <c r="E902" s="1">
        <v>8</v>
      </c>
      <c r="F902" s="1">
        <v>0</v>
      </c>
      <c r="G902" s="1">
        <f>SUMIFS($S$2:$S$10,$R$2:$R$10,D902)</f>
        <v>27</v>
      </c>
      <c r="H902" s="1">
        <f>SUMIFS($S$2:$S$10,$R$2:$R$10,E902)</f>
        <v>27</v>
      </c>
      <c r="I902" s="1">
        <f>SUMIFS($S$2:$S$10,$R$2:$R$10,F902)</f>
        <v>0</v>
      </c>
      <c r="J902" s="1">
        <f>SUM(G902:I902)</f>
        <v>54</v>
      </c>
      <c r="K902" s="1">
        <f>SUMIFS($U$2:$U$10,$R$2:$R$10,E902)</f>
        <v>0.13</v>
      </c>
      <c r="L902" s="1">
        <f>SUMIFS($V$2:$V$10,$R$2:$R$10,F902)</f>
        <v>0</v>
      </c>
      <c r="M902" s="1">
        <f>SUMIFS($T$2:$T$10,$R$2:$R$10,D902)</f>
        <v>0.43</v>
      </c>
    </row>
    <row r="903" spans="1:13" x14ac:dyDescent="0.25">
      <c r="A903" s="1">
        <f>(A$2+A$2*K903+A$2*L903)*(1+M903)</f>
        <v>752.50959999999998</v>
      </c>
      <c r="B903" s="1">
        <f>(B$2+B$2*K903+B$2*L903)*(1+M903)</f>
        <v>875.27070000000003</v>
      </c>
      <c r="C903" s="1">
        <f>(C$2+C$2*K903+C$2*L903)*(1+M903)</f>
        <v>919.91109999999992</v>
      </c>
      <c r="D903" s="1">
        <v>9</v>
      </c>
      <c r="E903" s="1">
        <v>0</v>
      </c>
      <c r="F903" s="1">
        <v>7</v>
      </c>
      <c r="G903" s="1">
        <f>SUMIFS($S$2:$S$10,$R$2:$R$10,D903)</f>
        <v>34</v>
      </c>
      <c r="H903" s="1">
        <f>SUMIFS($S$2:$S$10,$R$2:$R$10,E903)</f>
        <v>0</v>
      </c>
      <c r="I903" s="1">
        <f>SUMIFS($S$2:$S$10,$R$2:$R$10,F903)</f>
        <v>20</v>
      </c>
      <c r="J903" s="1">
        <f>SUM(G903:I903)</f>
        <v>54</v>
      </c>
      <c r="K903" s="1">
        <f>SUMIFS($U$2:$U$10,$R$2:$R$10,E903)</f>
        <v>0</v>
      </c>
      <c r="L903" s="1">
        <f>SUMIFS($V$2:$V$10,$R$2:$R$10,F903)</f>
        <v>7.0000000000000007E-2</v>
      </c>
      <c r="M903" s="1">
        <f>SUMIFS($T$2:$T$10,$R$2:$R$10,D903)</f>
        <v>0.49</v>
      </c>
    </row>
    <row r="904" spans="1:13" x14ac:dyDescent="0.25">
      <c r="A904" s="1">
        <f>(A$2+A$2*K904+A$2*L904)*(1+M904)</f>
        <v>787.67359999999996</v>
      </c>
      <c r="B904" s="1">
        <f>(B$2+B$2*K904+B$2*L904)*(1+M904)</f>
        <v>916.17120000000011</v>
      </c>
      <c r="C904" s="1">
        <f>(C$2+C$2*K904+C$2*L904)*(1+M904)</f>
        <v>962.89760000000001</v>
      </c>
      <c r="D904" s="1">
        <v>9</v>
      </c>
      <c r="E904" s="1">
        <v>5</v>
      </c>
      <c r="F904" s="1">
        <v>5</v>
      </c>
      <c r="G904" s="1">
        <f>SUMIFS($S$2:$S$10,$R$2:$R$10,D904)</f>
        <v>34</v>
      </c>
      <c r="H904" s="1">
        <f>SUMIFS($S$2:$S$10,$R$2:$R$10,E904)</f>
        <v>10</v>
      </c>
      <c r="I904" s="1">
        <f>SUMIFS($S$2:$S$10,$R$2:$R$10,F904)</f>
        <v>10</v>
      </c>
      <c r="J904" s="1">
        <f>SUM(G904:I904)</f>
        <v>54</v>
      </c>
      <c r="K904" s="1">
        <f>SUMIFS($U$2:$U$10,$R$2:$R$10,E904)</f>
        <v>7.0000000000000007E-2</v>
      </c>
      <c r="L904" s="1">
        <f>SUMIFS($V$2:$V$10,$R$2:$R$10,F904)</f>
        <v>0.05</v>
      </c>
      <c r="M904" s="1">
        <f>SUMIFS($T$2:$T$10,$R$2:$R$10,D904)</f>
        <v>0.49</v>
      </c>
    </row>
    <row r="905" spans="1:13" x14ac:dyDescent="0.25">
      <c r="A905" s="1">
        <f>(A$2+A$2*K905+A$2*L905)*(1+M905)</f>
        <v>780.6407999999999</v>
      </c>
      <c r="B905" s="1">
        <f>(B$2+B$2*K905+B$2*L905)*(1+M905)</f>
        <v>907.99109999999996</v>
      </c>
      <c r="C905" s="1">
        <f>(C$2+C$2*K905+C$2*L905)*(1+M905)</f>
        <v>954.30029999999999</v>
      </c>
      <c r="D905" s="1">
        <v>9</v>
      </c>
      <c r="E905" s="1">
        <v>7</v>
      </c>
      <c r="F905" s="1">
        <v>0</v>
      </c>
      <c r="G905" s="1">
        <f>SUMIFS($S$2:$S$10,$R$2:$R$10,D905)</f>
        <v>34</v>
      </c>
      <c r="H905" s="1">
        <f>SUMIFS($S$2:$S$10,$R$2:$R$10,E905)</f>
        <v>20</v>
      </c>
      <c r="I905" s="1">
        <f>SUMIFS($S$2:$S$10,$R$2:$R$10,F905)</f>
        <v>0</v>
      </c>
      <c r="J905" s="1">
        <f>SUM(G905:I905)</f>
        <v>54</v>
      </c>
      <c r="K905" s="1">
        <f>SUMIFS($U$2:$U$10,$R$2:$R$10,E905)</f>
        <v>0.11</v>
      </c>
      <c r="L905" s="1">
        <f>SUMIFS($V$2:$V$10,$R$2:$R$10,F905)</f>
        <v>0</v>
      </c>
      <c r="M905" s="1">
        <f>SUMIFS($T$2:$T$10,$R$2:$R$10,D905)</f>
        <v>0.49</v>
      </c>
    </row>
    <row r="906" spans="1:13" x14ac:dyDescent="0.25">
      <c r="A906" s="3">
        <f>(A$2+A$2*M906+A$2*L906)*(1+K906)</f>
        <v>571.12</v>
      </c>
      <c r="B906" s="3">
        <f>(B$2+B$2*M906+B$2*L906)*(1+K906)</f>
        <v>664.29</v>
      </c>
      <c r="C906" s="3">
        <f>(C$2+C$2*M906+C$2*L906)*(1+K906)</f>
        <v>698.17</v>
      </c>
      <c r="D906" s="3">
        <v>8</v>
      </c>
      <c r="E906" s="3">
        <v>0</v>
      </c>
      <c r="F906" s="3">
        <v>8</v>
      </c>
      <c r="G906" s="3">
        <f>SUMIFS($S$2:$S$10,$R$2:$R$10,D906)</f>
        <v>27</v>
      </c>
      <c r="H906" s="3">
        <f>SUMIFS($S$2:$S$10,$R$2:$R$10,E906)</f>
        <v>0</v>
      </c>
      <c r="I906" s="3">
        <f>SUMIFS($S$2:$S$10,$R$2:$R$10,F906)</f>
        <v>27</v>
      </c>
      <c r="J906" s="3">
        <f>SUM(G906:I906)</f>
        <v>54</v>
      </c>
      <c r="K906" s="3">
        <f>SUMIFS($T$2:$T$10,$R$2:$R$10,E906)</f>
        <v>0</v>
      </c>
      <c r="L906" s="3">
        <f>SUMIFS($V$2:$V$10,$R$2:$R$10,F906)</f>
        <v>0.08</v>
      </c>
      <c r="M906" s="3">
        <f>SUMIFS($U$2:$U$10,$R$2:$R$10,D906)</f>
        <v>0.13</v>
      </c>
    </row>
    <row r="907" spans="1:13" x14ac:dyDescent="0.25">
      <c r="A907" s="3">
        <f>(A$2+A$2*M907+A$2*L907)*(1+K907)</f>
        <v>691.00799999999992</v>
      </c>
      <c r="B907" s="3">
        <f>(B$2+B$2*M907+B$2*L907)*(1+K907)</f>
        <v>803.73599999999988</v>
      </c>
      <c r="C907" s="3">
        <f>(C$2+C$2*M907+C$2*L907)*(1+K907)</f>
        <v>844.72799999999995</v>
      </c>
      <c r="D907" s="3">
        <v>8</v>
      </c>
      <c r="E907" s="3">
        <v>4</v>
      </c>
      <c r="F907" s="3">
        <v>7</v>
      </c>
      <c r="G907" s="3">
        <f>SUMIFS($S$2:$S$10,$R$2:$R$10,D907)</f>
        <v>27</v>
      </c>
      <c r="H907" s="3">
        <f>SUMIFS($S$2:$S$10,$R$2:$R$10,E907)</f>
        <v>7</v>
      </c>
      <c r="I907" s="3">
        <f>SUMIFS($S$2:$S$10,$R$2:$R$10,F907)</f>
        <v>20</v>
      </c>
      <c r="J907" s="3">
        <f>SUM(G907:I907)</f>
        <v>54</v>
      </c>
      <c r="K907" s="3">
        <f>SUMIFS($T$2:$T$10,$R$2:$R$10,E907)</f>
        <v>0.22</v>
      </c>
      <c r="L907" s="3">
        <f>SUMIFS($V$2:$V$10,$R$2:$R$10,F907)</f>
        <v>7.0000000000000007E-2</v>
      </c>
      <c r="M907" s="3">
        <f>SUMIFS($U$2:$U$10,$R$2:$R$10,D907)</f>
        <v>0.13</v>
      </c>
    </row>
    <row r="908" spans="1:13" x14ac:dyDescent="0.25">
      <c r="A908" s="3">
        <f>(A$2+A$2*M908+A$2*L908)*(1+K908)</f>
        <v>756.56880000000012</v>
      </c>
      <c r="B908" s="3">
        <f>(B$2+B$2*M908+B$2*L908)*(1+K908)</f>
        <v>879.99210000000016</v>
      </c>
      <c r="C908" s="3">
        <f>(C$2+C$2*M908+C$2*L908)*(1+K908)</f>
        <v>924.87330000000009</v>
      </c>
      <c r="D908" s="3">
        <v>8</v>
      </c>
      <c r="E908" s="3">
        <v>7</v>
      </c>
      <c r="F908" s="3">
        <v>4</v>
      </c>
      <c r="G908" s="3">
        <f>SUMIFS($S$2:$S$10,$R$2:$R$10,D908)</f>
        <v>27</v>
      </c>
      <c r="H908" s="3">
        <f>SUMIFS($S$2:$S$10,$R$2:$R$10,E908)</f>
        <v>20</v>
      </c>
      <c r="I908" s="3">
        <f>SUMIFS($S$2:$S$10,$R$2:$R$10,F908)</f>
        <v>7</v>
      </c>
      <c r="J908" s="3">
        <f>SUM(G908:I908)</f>
        <v>54</v>
      </c>
      <c r="K908" s="3">
        <f>SUMIFS($T$2:$T$10,$R$2:$R$10,E908)</f>
        <v>0.37</v>
      </c>
      <c r="L908" s="3">
        <f>SUMIFS($V$2:$V$10,$R$2:$R$10,F908)</f>
        <v>0.04</v>
      </c>
      <c r="M908" s="3">
        <f>SUMIFS($U$2:$U$10,$R$2:$R$10,D908)</f>
        <v>0.13</v>
      </c>
    </row>
    <row r="909" spans="1:13" x14ac:dyDescent="0.25">
      <c r="A909" s="3">
        <f>(A$2+A$2*M909+A$2*L909)*(1+K909)</f>
        <v>762.70479999999998</v>
      </c>
      <c r="B909" s="3">
        <f>(B$2+B$2*M909+B$2*L909)*(1+K909)</f>
        <v>887.12909999999999</v>
      </c>
      <c r="C909" s="3">
        <f>(C$2+C$2*M909+C$2*L909)*(1+K909)</f>
        <v>932.37429999999995</v>
      </c>
      <c r="D909" s="3">
        <v>8</v>
      </c>
      <c r="E909" s="3">
        <v>8</v>
      </c>
      <c r="F909" s="3">
        <v>0</v>
      </c>
      <c r="G909" s="3">
        <f>SUMIFS($S$2:$S$10,$R$2:$R$10,D909)</f>
        <v>27</v>
      </c>
      <c r="H909" s="3">
        <f>SUMIFS($S$2:$S$10,$R$2:$R$10,E909)</f>
        <v>27</v>
      </c>
      <c r="I909" s="3">
        <f>SUMIFS($S$2:$S$10,$R$2:$R$10,F909)</f>
        <v>0</v>
      </c>
      <c r="J909" s="3">
        <f>SUM(G909:I909)</f>
        <v>54</v>
      </c>
      <c r="K909" s="3">
        <f>SUMIFS($T$2:$T$10,$R$2:$R$10,E909)</f>
        <v>0.43</v>
      </c>
      <c r="L909" s="3">
        <f>SUMIFS($V$2:$V$10,$R$2:$R$10,F909)</f>
        <v>0</v>
      </c>
      <c r="M909" s="3">
        <f>SUMIFS($U$2:$U$10,$R$2:$R$10,D909)</f>
        <v>0.13</v>
      </c>
    </row>
    <row r="910" spans="1:13" x14ac:dyDescent="0.25">
      <c r="A910" s="3">
        <f>(A$2+A$2*M910+A$2*L910)*(1+K910)</f>
        <v>575.83999999999992</v>
      </c>
      <c r="B910" s="3">
        <f>(B$2+B$2*M910+B$2*L910)*(1+K910)</f>
        <v>669.78</v>
      </c>
      <c r="C910" s="3">
        <f>(C$2+C$2*M910+C$2*L910)*(1+K910)</f>
        <v>703.93999999999994</v>
      </c>
      <c r="D910" s="3">
        <v>9</v>
      </c>
      <c r="E910" s="3">
        <v>0</v>
      </c>
      <c r="F910" s="3">
        <v>7</v>
      </c>
      <c r="G910" s="3">
        <f>SUMIFS($S$2:$S$10,$R$2:$R$10,D910)</f>
        <v>34</v>
      </c>
      <c r="H910" s="3">
        <f>SUMIFS($S$2:$S$10,$R$2:$R$10,E910)</f>
        <v>0</v>
      </c>
      <c r="I910" s="3">
        <f>SUMIFS($S$2:$S$10,$R$2:$R$10,F910)</f>
        <v>20</v>
      </c>
      <c r="J910" s="3">
        <f>SUM(G910:I910)</f>
        <v>54</v>
      </c>
      <c r="K910" s="3">
        <f>SUMIFS($T$2:$T$10,$R$2:$R$10,E910)</f>
        <v>0</v>
      </c>
      <c r="L910" s="3">
        <f>SUMIFS($V$2:$V$10,$R$2:$R$10,F910)</f>
        <v>7.0000000000000007E-2</v>
      </c>
      <c r="M910" s="3">
        <f>SUMIFS($U$2:$U$10,$R$2:$R$10,D910)</f>
        <v>0.15</v>
      </c>
    </row>
    <row r="911" spans="1:13" x14ac:dyDescent="0.25">
      <c r="A911" s="3">
        <f>(A$2+A$2*M911+A$2*L911)*(1+K911)</f>
        <v>719.32799999999997</v>
      </c>
      <c r="B911" s="3">
        <f>(B$2+B$2*M911+B$2*L911)*(1+K911)</f>
        <v>836.67600000000004</v>
      </c>
      <c r="C911" s="3">
        <f>(C$2+C$2*M911+C$2*L911)*(1+K911)</f>
        <v>879.34799999999996</v>
      </c>
      <c r="D911" s="3">
        <v>9</v>
      </c>
      <c r="E911" s="3">
        <v>5</v>
      </c>
      <c r="F911" s="3">
        <v>5</v>
      </c>
      <c r="G911" s="3">
        <f>SUMIFS($S$2:$S$10,$R$2:$R$10,D911)</f>
        <v>34</v>
      </c>
      <c r="H911" s="3">
        <f>SUMIFS($S$2:$S$10,$R$2:$R$10,E911)</f>
        <v>10</v>
      </c>
      <c r="I911" s="3">
        <f>SUMIFS($S$2:$S$10,$R$2:$R$10,F911)</f>
        <v>10</v>
      </c>
      <c r="J911" s="3">
        <f>SUM(G911:I911)</f>
        <v>54</v>
      </c>
      <c r="K911" s="3">
        <f>SUMIFS($T$2:$T$10,$R$2:$R$10,E911)</f>
        <v>0.27</v>
      </c>
      <c r="L911" s="3">
        <f>SUMIFS($V$2:$V$10,$R$2:$R$10,F911)</f>
        <v>0.05</v>
      </c>
      <c r="M911" s="3">
        <f>SUMIFS($U$2:$U$10,$R$2:$R$10,D911)</f>
        <v>0.15</v>
      </c>
    </row>
    <row r="912" spans="1:13" x14ac:dyDescent="0.25">
      <c r="A912" s="3">
        <f>(A$2+A$2*M912+A$2*L912)*(1+K912)</f>
        <v>743.63599999999997</v>
      </c>
      <c r="B912" s="3">
        <f>(B$2+B$2*M912+B$2*L912)*(1+K912)</f>
        <v>864.94950000000006</v>
      </c>
      <c r="C912" s="3">
        <f>(C$2+C$2*M912+C$2*L912)*(1+K912)</f>
        <v>909.06349999999998</v>
      </c>
      <c r="D912" s="3">
        <v>9</v>
      </c>
      <c r="E912" s="3">
        <v>7</v>
      </c>
      <c r="F912" s="3">
        <v>0</v>
      </c>
      <c r="G912" s="3">
        <f>SUMIFS($S$2:$S$10,$R$2:$R$10,D912)</f>
        <v>34</v>
      </c>
      <c r="H912" s="3">
        <f>SUMIFS($S$2:$S$10,$R$2:$R$10,E912)</f>
        <v>20</v>
      </c>
      <c r="I912" s="3">
        <f>SUMIFS($S$2:$S$10,$R$2:$R$10,F912)</f>
        <v>0</v>
      </c>
      <c r="J912" s="3">
        <f>SUM(G912:I912)</f>
        <v>54</v>
      </c>
      <c r="K912" s="3">
        <f>SUMIFS($T$2:$T$10,$R$2:$R$10,E912)</f>
        <v>0.37</v>
      </c>
      <c r="L912" s="3">
        <f>SUMIFS($V$2:$V$10,$R$2:$R$10,F912)</f>
        <v>0</v>
      </c>
      <c r="M912" s="3">
        <f>SUMIFS($U$2:$U$10,$R$2:$R$10,D912)</f>
        <v>0.15</v>
      </c>
    </row>
    <row r="913" spans="1:13" x14ac:dyDescent="0.25">
      <c r="A913" s="2">
        <f>(A$2+A$2*K913+A$2*M913)*(1+L913)</f>
        <v>728.95679999999993</v>
      </c>
      <c r="B913" s="2">
        <f>(B$2+B$2*K913+B$2*M913)*(1+L913)</f>
        <v>847.87559999999985</v>
      </c>
      <c r="C913" s="2">
        <f>(C$2+C$2*K913+C$2*M913)*(1+L913)</f>
        <v>891.11879999999996</v>
      </c>
      <c r="D913" s="2">
        <v>8</v>
      </c>
      <c r="E913" s="2">
        <v>0</v>
      </c>
      <c r="F913" s="2">
        <v>8</v>
      </c>
      <c r="G913" s="2">
        <f>SUMIFS($S$2:$S$10,$R$2:$R$10,D913)</f>
        <v>27</v>
      </c>
      <c r="H913" s="2">
        <f>SUMIFS($S$2:$S$10,$R$2:$R$10,E913)</f>
        <v>0</v>
      </c>
      <c r="I913" s="2">
        <f>SUMIFS($S$2:$S$10,$R$2:$R$10,F913)</f>
        <v>27</v>
      </c>
      <c r="J913" s="2">
        <f>SUM(G913:I913)</f>
        <v>54</v>
      </c>
      <c r="K913" s="2">
        <f>SUMIFS($U$2:$U$10,$R$2:$R$10,E913)</f>
        <v>0</v>
      </c>
      <c r="L913" s="2">
        <f>SUMIFS($T$2:$T$10,$R$2:$R$10,F913)</f>
        <v>0.43</v>
      </c>
      <c r="M913" s="2">
        <f>SUMIFS($V$2:$V$10,$R$2:$R$10,D913)</f>
        <v>0.08</v>
      </c>
    </row>
    <row r="914" spans="1:13" x14ac:dyDescent="0.25">
      <c r="A914" s="2">
        <f>(A$2+A$2*K914+A$2*M914)*(1+L914)</f>
        <v>730.70320000000004</v>
      </c>
      <c r="B914" s="2">
        <f>(B$2+B$2*K914+B$2*M914)*(1+L914)</f>
        <v>849.90690000000006</v>
      </c>
      <c r="C914" s="2">
        <f>(C$2+C$2*K914+C$2*M914)*(1+L914)</f>
        <v>893.25370000000009</v>
      </c>
      <c r="D914" s="2">
        <v>8</v>
      </c>
      <c r="E914" s="2">
        <v>4</v>
      </c>
      <c r="F914" s="2">
        <v>7</v>
      </c>
      <c r="G914" s="2">
        <f>SUMIFS($S$2:$S$10,$R$2:$R$10,D914)</f>
        <v>27</v>
      </c>
      <c r="H914" s="2">
        <f>SUMIFS($S$2:$S$10,$R$2:$R$10,E914)</f>
        <v>7</v>
      </c>
      <c r="I914" s="2">
        <f>SUMIFS($S$2:$S$10,$R$2:$R$10,F914)</f>
        <v>20</v>
      </c>
      <c r="J914" s="2">
        <f>SUM(G914:I914)</f>
        <v>54</v>
      </c>
      <c r="K914" s="2">
        <f>SUMIFS($U$2:$U$10,$R$2:$R$10,E914)</f>
        <v>0.05</v>
      </c>
      <c r="L914" s="2">
        <f>SUMIFS($T$2:$T$10,$R$2:$R$10,F914)</f>
        <v>0.37</v>
      </c>
      <c r="M914" s="2">
        <f>SUMIFS($V$2:$V$10,$R$2:$R$10,D914)</f>
        <v>0.08</v>
      </c>
    </row>
    <row r="915" spans="1:13" x14ac:dyDescent="0.25">
      <c r="A915" s="2">
        <f>(A$2+A$2*K915+A$2*M915)*(1+L915)</f>
        <v>685.24959999999987</v>
      </c>
      <c r="B915" s="2">
        <f>(B$2+B$2*K915+B$2*M915)*(1+L915)</f>
        <v>797.03819999999996</v>
      </c>
      <c r="C915" s="2">
        <f>(C$2+C$2*K915+C$2*M915)*(1+L915)</f>
        <v>837.68859999999995</v>
      </c>
      <c r="D915" s="2">
        <v>8</v>
      </c>
      <c r="E915" s="2">
        <v>7</v>
      </c>
      <c r="F915" s="2">
        <v>4</v>
      </c>
      <c r="G915" s="2">
        <f>SUMIFS($S$2:$S$10,$R$2:$R$10,D915)</f>
        <v>27</v>
      </c>
      <c r="H915" s="2">
        <f>SUMIFS($S$2:$S$10,$R$2:$R$10,E915)</f>
        <v>20</v>
      </c>
      <c r="I915" s="2">
        <f>SUMIFS($S$2:$S$10,$R$2:$R$10,F915)</f>
        <v>7</v>
      </c>
      <c r="J915" s="2">
        <f>SUM(G915:I915)</f>
        <v>54</v>
      </c>
      <c r="K915" s="2">
        <f>SUMIFS($U$2:$U$10,$R$2:$R$10,E915)</f>
        <v>0.11</v>
      </c>
      <c r="L915" s="2">
        <f>SUMIFS($T$2:$T$10,$R$2:$R$10,F915)</f>
        <v>0.22</v>
      </c>
      <c r="M915" s="2">
        <f>SUMIFS($V$2:$V$10,$R$2:$R$10,D915)</f>
        <v>0.08</v>
      </c>
    </row>
    <row r="916" spans="1:13" x14ac:dyDescent="0.25">
      <c r="A916" s="2">
        <f>(A$2+A$2*K916+A$2*M916)*(1+L916)</f>
        <v>571.12</v>
      </c>
      <c r="B916" s="2">
        <f>(B$2+B$2*K916+B$2*M916)*(1+L916)</f>
        <v>664.29</v>
      </c>
      <c r="C916" s="2">
        <f>(C$2+C$2*K916+C$2*M916)*(1+L916)</f>
        <v>698.17</v>
      </c>
      <c r="D916" s="2">
        <v>8</v>
      </c>
      <c r="E916" s="2">
        <v>8</v>
      </c>
      <c r="F916" s="2">
        <v>0</v>
      </c>
      <c r="G916" s="2">
        <f>SUMIFS($S$2:$S$10,$R$2:$R$10,D916)</f>
        <v>27</v>
      </c>
      <c r="H916" s="2">
        <f>SUMIFS($S$2:$S$10,$R$2:$R$10,E916)</f>
        <v>27</v>
      </c>
      <c r="I916" s="2">
        <f>SUMIFS($S$2:$S$10,$R$2:$R$10,F916)</f>
        <v>0</v>
      </c>
      <c r="J916" s="2">
        <f>SUM(G916:I916)</f>
        <v>54</v>
      </c>
      <c r="K916" s="2">
        <f>SUMIFS($U$2:$U$10,$R$2:$R$10,E916)</f>
        <v>0.13</v>
      </c>
      <c r="L916" s="2">
        <f>SUMIFS($T$2:$T$10,$R$2:$R$10,F916)</f>
        <v>0</v>
      </c>
      <c r="M916" s="2">
        <f>SUMIFS($V$2:$V$10,$R$2:$R$10,D916)</f>
        <v>0.08</v>
      </c>
    </row>
    <row r="917" spans="1:13" x14ac:dyDescent="0.25">
      <c r="A917" s="2">
        <f>(A$2+A$2*K917+A$2*M917)*(1+L917)</f>
        <v>704.83760000000007</v>
      </c>
      <c r="B917" s="2">
        <f>(B$2+B$2*K917+B$2*M917)*(1+L917)</f>
        <v>819.82169999999996</v>
      </c>
      <c r="C917" s="2">
        <f>(C$2+C$2*K917+C$2*M917)*(1+L917)</f>
        <v>861.63409999999999</v>
      </c>
      <c r="D917" s="2">
        <v>9</v>
      </c>
      <c r="E917" s="2">
        <v>0</v>
      </c>
      <c r="F917" s="2">
        <v>7</v>
      </c>
      <c r="G917" s="2">
        <f>SUMIFS($S$2:$S$10,$R$2:$R$10,D917)</f>
        <v>34</v>
      </c>
      <c r="H917" s="2">
        <f>SUMIFS($S$2:$S$10,$R$2:$R$10,E917)</f>
        <v>0</v>
      </c>
      <c r="I917" s="2">
        <f>SUMIFS($S$2:$S$10,$R$2:$R$10,F917)</f>
        <v>20</v>
      </c>
      <c r="J917" s="2">
        <f>SUM(G917:I917)</f>
        <v>54</v>
      </c>
      <c r="K917" s="2">
        <f>SUMIFS($U$2:$U$10,$R$2:$R$10,E917)</f>
        <v>0</v>
      </c>
      <c r="L917" s="2">
        <f>SUMIFS($T$2:$T$10,$R$2:$R$10,F917)</f>
        <v>0.37</v>
      </c>
      <c r="M917" s="2">
        <f>SUMIFS($V$2:$V$10,$R$2:$R$10,D917)</f>
        <v>0.09</v>
      </c>
    </row>
    <row r="918" spans="1:13" x14ac:dyDescent="0.25">
      <c r="A918" s="2">
        <f>(A$2+A$2*K918+A$2*M918)*(1+L918)</f>
        <v>695.35040000000004</v>
      </c>
      <c r="B918" s="2">
        <f>(B$2+B$2*K918+B$2*M918)*(1+L918)</f>
        <v>808.78680000000008</v>
      </c>
      <c r="C918" s="2">
        <f>(C$2+C$2*K918+C$2*M918)*(1+L918)</f>
        <v>850.03639999999996</v>
      </c>
      <c r="D918" s="2">
        <v>9</v>
      </c>
      <c r="E918" s="2">
        <v>5</v>
      </c>
      <c r="F918" s="2">
        <v>5</v>
      </c>
      <c r="G918" s="2">
        <f>SUMIFS($S$2:$S$10,$R$2:$R$10,D918)</f>
        <v>34</v>
      </c>
      <c r="H918" s="2">
        <f>SUMIFS($S$2:$S$10,$R$2:$R$10,E918)</f>
        <v>10</v>
      </c>
      <c r="I918" s="2">
        <f>SUMIFS($S$2:$S$10,$R$2:$R$10,F918)</f>
        <v>10</v>
      </c>
      <c r="J918" s="2">
        <f>SUM(G918:I918)</f>
        <v>54</v>
      </c>
      <c r="K918" s="2">
        <f>SUMIFS($U$2:$U$10,$R$2:$R$10,E918)</f>
        <v>7.0000000000000007E-2</v>
      </c>
      <c r="L918" s="2">
        <f>SUMIFS($T$2:$T$10,$R$2:$R$10,F918)</f>
        <v>0.27</v>
      </c>
      <c r="M918" s="2">
        <f>SUMIFS($V$2:$V$10,$R$2:$R$10,D918)</f>
        <v>0.09</v>
      </c>
    </row>
    <row r="919" spans="1:13" x14ac:dyDescent="0.25">
      <c r="A919" s="2">
        <f>(A$2+A$2*K919+A$2*M919)*(1+L919)</f>
        <v>566.4</v>
      </c>
      <c r="B919" s="2">
        <f>(B$2+B$2*K919+B$2*M919)*(1+L919)</f>
        <v>658.8</v>
      </c>
      <c r="C919" s="2">
        <f>(C$2+C$2*K919+C$2*M919)*(1+L919)</f>
        <v>692.4</v>
      </c>
      <c r="D919" s="2">
        <v>9</v>
      </c>
      <c r="E919" s="2">
        <v>7</v>
      </c>
      <c r="F919" s="2">
        <v>0</v>
      </c>
      <c r="G919" s="2">
        <f>SUMIFS($S$2:$S$10,$R$2:$R$10,D919)</f>
        <v>34</v>
      </c>
      <c r="H919" s="2">
        <f>SUMIFS($S$2:$S$10,$R$2:$R$10,E919)</f>
        <v>20</v>
      </c>
      <c r="I919" s="2">
        <f>SUMIFS($S$2:$S$10,$R$2:$R$10,F919)</f>
        <v>0</v>
      </c>
      <c r="J919" s="2">
        <f>SUM(G919:I919)</f>
        <v>54</v>
      </c>
      <c r="K919" s="2">
        <f>SUMIFS($U$2:$U$10,$R$2:$R$10,E919)</f>
        <v>0.11</v>
      </c>
      <c r="L919" s="2">
        <f>SUMIFS($T$2:$T$10,$R$2:$R$10,F919)</f>
        <v>0</v>
      </c>
      <c r="M919" s="2">
        <f>SUMIFS($V$2:$V$10,$R$2:$R$10,D919)</f>
        <v>0.09</v>
      </c>
    </row>
    <row r="920" spans="1:13" x14ac:dyDescent="0.25">
      <c r="A920" s="1">
        <f>(A$2+A$2*K920+A$2*L920)*(1+M920)</f>
        <v>750.10239999999999</v>
      </c>
      <c r="B920" s="1">
        <f>(B$2+B$2*K920+B$2*L920)*(1+M920)</f>
        <v>872.47079999999994</v>
      </c>
      <c r="C920" s="1">
        <f>(C$2+C$2*K920+C$2*L920)*(1+M920)</f>
        <v>916.96839999999997</v>
      </c>
      <c r="D920" s="1">
        <v>7</v>
      </c>
      <c r="E920" s="1">
        <v>6</v>
      </c>
      <c r="F920" s="1">
        <v>7</v>
      </c>
      <c r="G920" s="1">
        <f>SUMIFS($S$2:$S$10,$R$2:$R$10,D920)</f>
        <v>20</v>
      </c>
      <c r="H920" s="1">
        <f>SUMIFS($S$2:$S$10,$R$2:$R$10,E920)</f>
        <v>15</v>
      </c>
      <c r="I920" s="1">
        <f>SUMIFS($S$2:$S$10,$R$2:$R$10,F920)</f>
        <v>20</v>
      </c>
      <c r="J920" s="1">
        <f>SUM(G920:I920)</f>
        <v>55</v>
      </c>
      <c r="K920" s="1">
        <f>SUMIFS($U$2:$U$10,$R$2:$R$10,E920)</f>
        <v>0.09</v>
      </c>
      <c r="L920" s="1">
        <f>SUMIFS($V$2:$V$10,$R$2:$R$10,F920)</f>
        <v>7.0000000000000007E-2</v>
      </c>
      <c r="M920" s="1">
        <f>SUMIFS($T$2:$T$10,$R$2:$R$10,D920)</f>
        <v>0.37</v>
      </c>
    </row>
    <row r="921" spans="1:13" x14ac:dyDescent="0.25">
      <c r="A921" s="1">
        <f>(A$2+A$2*K921+A$2*L921)*(1+M921)</f>
        <v>756.56880000000012</v>
      </c>
      <c r="B921" s="1">
        <f>(B$2+B$2*K921+B$2*L921)*(1+M921)</f>
        <v>879.99209999999994</v>
      </c>
      <c r="C921" s="1">
        <f>(C$2+C$2*K921+C$2*L921)*(1+M921)</f>
        <v>924.87330000000009</v>
      </c>
      <c r="D921" s="1">
        <v>7</v>
      </c>
      <c r="E921" s="1">
        <v>7</v>
      </c>
      <c r="F921" s="1">
        <v>6</v>
      </c>
      <c r="G921" s="1">
        <f>SUMIFS($S$2:$S$10,$R$2:$R$10,D921)</f>
        <v>20</v>
      </c>
      <c r="H921" s="1">
        <f>SUMIFS($S$2:$S$10,$R$2:$R$10,E921)</f>
        <v>20</v>
      </c>
      <c r="I921" s="1">
        <f>SUMIFS($S$2:$S$10,$R$2:$R$10,F921)</f>
        <v>15</v>
      </c>
      <c r="J921" s="1">
        <f>SUM(G921:I921)</f>
        <v>55</v>
      </c>
      <c r="K921" s="1">
        <f>SUMIFS($U$2:$U$10,$R$2:$R$10,E921)</f>
        <v>0.11</v>
      </c>
      <c r="L921" s="1">
        <f>SUMIFS($V$2:$V$10,$R$2:$R$10,F921)</f>
        <v>0.06</v>
      </c>
      <c r="M921" s="1">
        <f>SUMIFS($T$2:$T$10,$R$2:$R$10,D921)</f>
        <v>0.37</v>
      </c>
    </row>
    <row r="922" spans="1:13" x14ac:dyDescent="0.25">
      <c r="A922" s="1">
        <f>(A$2+A$2*K922+A$2*L922)*(1+M922)</f>
        <v>735.70640000000003</v>
      </c>
      <c r="B922" s="1">
        <f>(B$2+B$2*K922+B$2*L922)*(1+M922)</f>
        <v>855.72629999999992</v>
      </c>
      <c r="C922" s="1">
        <f>(C$2+C$2*K922+C$2*L922)*(1+M922)</f>
        <v>899.36989999999992</v>
      </c>
      <c r="D922" s="1">
        <v>8</v>
      </c>
      <c r="E922" s="1">
        <v>1</v>
      </c>
      <c r="F922" s="1">
        <v>8</v>
      </c>
      <c r="G922" s="1">
        <f>SUMIFS($S$2:$S$10,$R$2:$R$10,D922)</f>
        <v>27</v>
      </c>
      <c r="H922" s="1">
        <f>SUMIFS($S$2:$S$10,$R$2:$R$10,E922)</f>
        <v>1</v>
      </c>
      <c r="I922" s="1">
        <f>SUMIFS($S$2:$S$10,$R$2:$R$10,F922)</f>
        <v>27</v>
      </c>
      <c r="J922" s="1">
        <f>SUM(G922:I922)</f>
        <v>55</v>
      </c>
      <c r="K922" s="1">
        <f>SUMIFS($U$2:$U$10,$R$2:$R$10,E922)</f>
        <v>0.01</v>
      </c>
      <c r="L922" s="1">
        <f>SUMIFS($V$2:$V$10,$R$2:$R$10,F922)</f>
        <v>0.08</v>
      </c>
      <c r="M922" s="1">
        <f>SUMIFS($T$2:$T$10,$R$2:$R$10,D922)</f>
        <v>0.43</v>
      </c>
    </row>
    <row r="923" spans="1:13" x14ac:dyDescent="0.25">
      <c r="A923" s="1">
        <f>(A$2+A$2*K923+A$2*L923)*(1+M923)</f>
        <v>769.45440000000008</v>
      </c>
      <c r="B923" s="1">
        <f>(B$2+B$2*K923+B$2*L923)*(1+M923)</f>
        <v>894.97979999999995</v>
      </c>
      <c r="C923" s="1">
        <f>(C$2+C$2*K923+C$2*L923)*(1+M923)</f>
        <v>940.6253999999999</v>
      </c>
      <c r="D923" s="1">
        <v>8</v>
      </c>
      <c r="E923" s="1">
        <v>8</v>
      </c>
      <c r="F923" s="1">
        <v>1</v>
      </c>
      <c r="G923" s="1">
        <f>SUMIFS($S$2:$S$10,$R$2:$R$10,D923)</f>
        <v>27</v>
      </c>
      <c r="H923" s="1">
        <f>SUMIFS($S$2:$S$10,$R$2:$R$10,E923)</f>
        <v>27</v>
      </c>
      <c r="I923" s="1">
        <f>SUMIFS($S$2:$S$10,$R$2:$R$10,F923)</f>
        <v>1</v>
      </c>
      <c r="J923" s="1">
        <f>SUM(G923:I923)</f>
        <v>55</v>
      </c>
      <c r="K923" s="1">
        <f>SUMIFS($U$2:$U$10,$R$2:$R$10,E923)</f>
        <v>0.13</v>
      </c>
      <c r="L923" s="1">
        <f>SUMIFS($V$2:$V$10,$R$2:$R$10,F923)</f>
        <v>0.01</v>
      </c>
      <c r="M923" s="1">
        <f>SUMIFS($T$2:$T$10,$R$2:$R$10,D923)</f>
        <v>0.43</v>
      </c>
    </row>
    <row r="924" spans="1:13" x14ac:dyDescent="0.25">
      <c r="A924" s="1">
        <f>(A$2+A$2*K924+A$2*L924)*(1+M924)</f>
        <v>759.54240000000004</v>
      </c>
      <c r="B924" s="1">
        <f>(B$2+B$2*K924+B$2*L924)*(1+M924)</f>
        <v>883.45080000000007</v>
      </c>
      <c r="C924" s="1">
        <f>(C$2+C$2*K924+C$2*L924)*(1+M924)</f>
        <v>928.50839999999994</v>
      </c>
      <c r="D924" s="1">
        <v>9</v>
      </c>
      <c r="E924" s="1">
        <v>1</v>
      </c>
      <c r="F924" s="1">
        <v>7</v>
      </c>
      <c r="G924" s="1">
        <f>SUMIFS($S$2:$S$10,$R$2:$R$10,D924)</f>
        <v>34</v>
      </c>
      <c r="H924" s="1">
        <f>SUMIFS($S$2:$S$10,$R$2:$R$10,E924)</f>
        <v>1</v>
      </c>
      <c r="I924" s="1">
        <f>SUMIFS($S$2:$S$10,$R$2:$R$10,F924)</f>
        <v>20</v>
      </c>
      <c r="J924" s="1">
        <f>SUM(G924:I924)</f>
        <v>55</v>
      </c>
      <c r="K924" s="1">
        <f>SUMIFS($U$2:$U$10,$R$2:$R$10,E924)</f>
        <v>0.01</v>
      </c>
      <c r="L924" s="1">
        <f>SUMIFS($V$2:$V$10,$R$2:$R$10,F924)</f>
        <v>7.0000000000000007E-2</v>
      </c>
      <c r="M924" s="1">
        <f>SUMIFS($T$2:$T$10,$R$2:$R$10,D924)</f>
        <v>0.49</v>
      </c>
    </row>
    <row r="925" spans="1:13" x14ac:dyDescent="0.25">
      <c r="A925" s="1">
        <f>(A$2+A$2*K925+A$2*L925)*(1+M925)</f>
        <v>787.67359999999996</v>
      </c>
      <c r="B925" s="1">
        <f>(B$2+B$2*K925+B$2*L925)*(1+M925)</f>
        <v>916.1712</v>
      </c>
      <c r="C925" s="1">
        <f>(C$2+C$2*K925+C$2*L925)*(1+M925)</f>
        <v>962.89760000000001</v>
      </c>
      <c r="D925" s="1">
        <v>9</v>
      </c>
      <c r="E925" s="1">
        <v>7</v>
      </c>
      <c r="F925" s="1">
        <v>1</v>
      </c>
      <c r="G925" s="1">
        <f>SUMIFS($S$2:$S$10,$R$2:$R$10,D925)</f>
        <v>34</v>
      </c>
      <c r="H925" s="1">
        <f>SUMIFS($S$2:$S$10,$R$2:$R$10,E925)</f>
        <v>20</v>
      </c>
      <c r="I925" s="1">
        <f>SUMIFS($S$2:$S$10,$R$2:$R$10,F925)</f>
        <v>1</v>
      </c>
      <c r="J925" s="1">
        <f>SUM(G925:I925)</f>
        <v>55</v>
      </c>
      <c r="K925" s="1">
        <f>SUMIFS($U$2:$U$10,$R$2:$R$10,E925)</f>
        <v>0.11</v>
      </c>
      <c r="L925" s="1">
        <f>SUMIFS($V$2:$V$10,$R$2:$R$10,F925)</f>
        <v>0.01</v>
      </c>
      <c r="M925" s="1">
        <f>SUMIFS($T$2:$T$10,$R$2:$R$10,D925)</f>
        <v>0.49</v>
      </c>
    </row>
    <row r="926" spans="1:13" x14ac:dyDescent="0.25">
      <c r="A926" s="3">
        <f>(A$2+A$2*M926+A$2*L926)*(1+K926)</f>
        <v>735.18719999999996</v>
      </c>
      <c r="B926" s="3">
        <f>(B$2+B$2*M926+B$2*L926)*(1+K926)</f>
        <v>855.12239999999997</v>
      </c>
      <c r="C926" s="3">
        <f>(C$2+C$2*M926+C$2*L926)*(1+K926)</f>
        <v>898.73520000000008</v>
      </c>
      <c r="D926" s="3">
        <v>7</v>
      </c>
      <c r="E926" s="3">
        <v>6</v>
      </c>
      <c r="F926" s="3">
        <v>7</v>
      </c>
      <c r="G926" s="3">
        <f>SUMIFS($S$2:$S$10,$R$2:$R$10,D926)</f>
        <v>20</v>
      </c>
      <c r="H926" s="3">
        <f>SUMIFS($S$2:$S$10,$R$2:$R$10,E926)</f>
        <v>15</v>
      </c>
      <c r="I926" s="3">
        <f>SUMIFS($S$2:$S$10,$R$2:$R$10,F926)</f>
        <v>20</v>
      </c>
      <c r="J926" s="3">
        <f>SUM(G926:I926)</f>
        <v>55</v>
      </c>
      <c r="K926" s="3">
        <f>SUMIFS($T$2:$T$10,$R$2:$R$10,E926)</f>
        <v>0.32</v>
      </c>
      <c r="L926" s="3">
        <f>SUMIFS($V$2:$V$10,$R$2:$R$10,F926)</f>
        <v>7.0000000000000007E-2</v>
      </c>
      <c r="M926" s="3">
        <f>SUMIFS($U$2:$U$10,$R$2:$R$10,D926)</f>
        <v>0.11</v>
      </c>
    </row>
    <row r="927" spans="1:13" x14ac:dyDescent="0.25">
      <c r="A927" s="3">
        <f>(A$2+A$2*M927+A$2*L927)*(1+K927)</f>
        <v>756.56880000000012</v>
      </c>
      <c r="B927" s="3">
        <f>(B$2+B$2*M927+B$2*L927)*(1+K927)</f>
        <v>879.99209999999994</v>
      </c>
      <c r="C927" s="3">
        <f>(C$2+C$2*M927+C$2*L927)*(1+K927)</f>
        <v>924.87330000000009</v>
      </c>
      <c r="D927" s="3">
        <v>7</v>
      </c>
      <c r="E927" s="3">
        <v>7</v>
      </c>
      <c r="F927" s="3">
        <v>6</v>
      </c>
      <c r="G927" s="3">
        <f>SUMIFS($S$2:$S$10,$R$2:$R$10,D927)</f>
        <v>20</v>
      </c>
      <c r="H927" s="3">
        <f>SUMIFS($S$2:$S$10,$R$2:$R$10,E927)</f>
        <v>20</v>
      </c>
      <c r="I927" s="3">
        <f>SUMIFS($S$2:$S$10,$R$2:$R$10,F927)</f>
        <v>15</v>
      </c>
      <c r="J927" s="3">
        <f>SUM(G927:I927)</f>
        <v>55</v>
      </c>
      <c r="K927" s="3">
        <f>SUMIFS($T$2:$T$10,$R$2:$R$10,E927)</f>
        <v>0.37</v>
      </c>
      <c r="L927" s="3">
        <f>SUMIFS($V$2:$V$10,$R$2:$R$10,F927)</f>
        <v>0.06</v>
      </c>
      <c r="M927" s="3">
        <f>SUMIFS($U$2:$U$10,$R$2:$R$10,D927)</f>
        <v>0.11</v>
      </c>
    </row>
    <row r="928" spans="1:13" x14ac:dyDescent="0.25">
      <c r="A928" s="3">
        <f>(A$2+A$2*M928+A$2*L928)*(1+K928)</f>
        <v>645.36559999999997</v>
      </c>
      <c r="B928" s="3">
        <f>(B$2+B$2*M928+B$2*L928)*(1+K928)</f>
        <v>750.64769999999987</v>
      </c>
      <c r="C928" s="3">
        <f>(C$2+C$2*M928+C$2*L928)*(1+K928)</f>
        <v>788.93209999999988</v>
      </c>
      <c r="D928" s="3">
        <v>8</v>
      </c>
      <c r="E928" s="3">
        <v>1</v>
      </c>
      <c r="F928" s="3">
        <v>8</v>
      </c>
      <c r="G928" s="3">
        <f>SUMIFS($S$2:$S$10,$R$2:$R$10,D928)</f>
        <v>27</v>
      </c>
      <c r="H928" s="3">
        <f>SUMIFS($S$2:$S$10,$R$2:$R$10,E928)</f>
        <v>1</v>
      </c>
      <c r="I928" s="3">
        <f>SUMIFS($S$2:$S$10,$R$2:$R$10,F928)</f>
        <v>27</v>
      </c>
      <c r="J928" s="3">
        <f>SUM(G928:I928)</f>
        <v>55</v>
      </c>
      <c r="K928" s="3">
        <f>SUMIFS($T$2:$T$10,$R$2:$R$10,E928)</f>
        <v>0.13</v>
      </c>
      <c r="L928" s="3">
        <f>SUMIFS($V$2:$V$10,$R$2:$R$10,F928)</f>
        <v>0.08</v>
      </c>
      <c r="M928" s="3">
        <f>SUMIFS($U$2:$U$10,$R$2:$R$10,D928)</f>
        <v>0.13</v>
      </c>
    </row>
    <row r="929" spans="1:13" x14ac:dyDescent="0.25">
      <c r="A929" s="3">
        <f>(A$2+A$2*M929+A$2*L929)*(1+K929)</f>
        <v>769.45440000000008</v>
      </c>
      <c r="B929" s="3">
        <f>(B$2+B$2*M929+B$2*L929)*(1+K929)</f>
        <v>894.97979999999995</v>
      </c>
      <c r="C929" s="3">
        <f>(C$2+C$2*M929+C$2*L929)*(1+K929)</f>
        <v>940.6253999999999</v>
      </c>
      <c r="D929" s="3">
        <v>8</v>
      </c>
      <c r="E929" s="3">
        <v>8</v>
      </c>
      <c r="F929" s="3">
        <v>1</v>
      </c>
      <c r="G929" s="3">
        <f>SUMIFS($S$2:$S$10,$R$2:$R$10,D929)</f>
        <v>27</v>
      </c>
      <c r="H929" s="3">
        <f>SUMIFS($S$2:$S$10,$R$2:$R$10,E929)</f>
        <v>27</v>
      </c>
      <c r="I929" s="3">
        <f>SUMIFS($S$2:$S$10,$R$2:$R$10,F929)</f>
        <v>1</v>
      </c>
      <c r="J929" s="3">
        <f>SUM(G929:I929)</f>
        <v>55</v>
      </c>
      <c r="K929" s="3">
        <f>SUMIFS($T$2:$T$10,$R$2:$R$10,E929)</f>
        <v>0.43</v>
      </c>
      <c r="L929" s="3">
        <f>SUMIFS($V$2:$V$10,$R$2:$R$10,F929)</f>
        <v>0.01</v>
      </c>
      <c r="M929" s="3">
        <f>SUMIFS($U$2:$U$10,$R$2:$R$10,D929)</f>
        <v>0.13</v>
      </c>
    </row>
    <row r="930" spans="1:13" x14ac:dyDescent="0.25">
      <c r="A930" s="3">
        <f>(A$2+A$2*M930+A$2*L930)*(1+K930)</f>
        <v>650.69919999999979</v>
      </c>
      <c r="B930" s="3">
        <f>(B$2+B$2*M930+B$2*L930)*(1+K930)</f>
        <v>756.8513999999999</v>
      </c>
      <c r="C930" s="3">
        <f>(C$2+C$2*M930+C$2*L930)*(1+K930)</f>
        <v>795.45219999999983</v>
      </c>
      <c r="D930" s="3">
        <v>9</v>
      </c>
      <c r="E930" s="3">
        <v>1</v>
      </c>
      <c r="F930" s="3">
        <v>7</v>
      </c>
      <c r="G930" s="3">
        <f>SUMIFS($S$2:$S$10,$R$2:$R$10,D930)</f>
        <v>34</v>
      </c>
      <c r="H930" s="3">
        <f>SUMIFS($S$2:$S$10,$R$2:$R$10,E930)</f>
        <v>1</v>
      </c>
      <c r="I930" s="3">
        <f>SUMIFS($S$2:$S$10,$R$2:$R$10,F930)</f>
        <v>20</v>
      </c>
      <c r="J930" s="3">
        <f>SUM(G930:I930)</f>
        <v>55</v>
      </c>
      <c r="K930" s="3">
        <f>SUMIFS($T$2:$T$10,$R$2:$R$10,E930)</f>
        <v>0.13</v>
      </c>
      <c r="L930" s="3">
        <f>SUMIFS($V$2:$V$10,$R$2:$R$10,F930)</f>
        <v>7.0000000000000007E-2</v>
      </c>
      <c r="M930" s="3">
        <f>SUMIFS($U$2:$U$10,$R$2:$R$10,D930)</f>
        <v>0.15</v>
      </c>
    </row>
    <row r="931" spans="1:13" x14ac:dyDescent="0.25">
      <c r="A931" s="3">
        <f>(A$2+A$2*M931+A$2*L931)*(1+K931)</f>
        <v>750.10239999999999</v>
      </c>
      <c r="B931" s="3">
        <f>(B$2+B$2*M931+B$2*L931)*(1+K931)</f>
        <v>872.47080000000017</v>
      </c>
      <c r="C931" s="3">
        <f>(C$2+C$2*M931+C$2*L931)*(1+K931)</f>
        <v>916.96839999999997</v>
      </c>
      <c r="D931" s="3">
        <v>9</v>
      </c>
      <c r="E931" s="3">
        <v>7</v>
      </c>
      <c r="F931" s="3">
        <v>1</v>
      </c>
      <c r="G931" s="3">
        <f>SUMIFS($S$2:$S$10,$R$2:$R$10,D931)</f>
        <v>34</v>
      </c>
      <c r="H931" s="3">
        <f>SUMIFS($S$2:$S$10,$R$2:$R$10,E931)</f>
        <v>20</v>
      </c>
      <c r="I931" s="3">
        <f>SUMIFS($S$2:$S$10,$R$2:$R$10,F931)</f>
        <v>1</v>
      </c>
      <c r="J931" s="3">
        <f>SUM(G931:I931)</f>
        <v>55</v>
      </c>
      <c r="K931" s="3">
        <f>SUMIFS($T$2:$T$10,$R$2:$R$10,E931)</f>
        <v>0.37</v>
      </c>
      <c r="L931" s="3">
        <f>SUMIFS($V$2:$V$10,$R$2:$R$10,F931)</f>
        <v>0.01</v>
      </c>
      <c r="M931" s="3">
        <f>SUMIFS($U$2:$U$10,$R$2:$R$10,D931)</f>
        <v>0.15</v>
      </c>
    </row>
    <row r="932" spans="1:13" x14ac:dyDescent="0.25">
      <c r="A932" s="2">
        <f>(A$2+A$2*K932+A$2*M932)*(1+L932)</f>
        <v>750.10239999999999</v>
      </c>
      <c r="B932" s="2">
        <f>(B$2+B$2*K932+B$2*M932)*(1+L932)</f>
        <v>872.47079999999994</v>
      </c>
      <c r="C932" s="2">
        <f>(C$2+C$2*K932+C$2*M932)*(1+L932)</f>
        <v>916.96839999999997</v>
      </c>
      <c r="D932" s="2">
        <v>7</v>
      </c>
      <c r="E932" s="2">
        <v>6</v>
      </c>
      <c r="F932" s="2">
        <v>7</v>
      </c>
      <c r="G932" s="2">
        <f>SUMIFS($S$2:$S$10,$R$2:$R$10,D932)</f>
        <v>20</v>
      </c>
      <c r="H932" s="2">
        <f>SUMIFS($S$2:$S$10,$R$2:$R$10,E932)</f>
        <v>15</v>
      </c>
      <c r="I932" s="2">
        <f>SUMIFS($S$2:$S$10,$R$2:$R$10,F932)</f>
        <v>20</v>
      </c>
      <c r="J932" s="2">
        <f>SUM(G932:I932)</f>
        <v>55</v>
      </c>
      <c r="K932" s="2">
        <f>SUMIFS($U$2:$U$10,$R$2:$R$10,E932)</f>
        <v>0.09</v>
      </c>
      <c r="L932" s="2">
        <f>SUMIFS($T$2:$T$10,$R$2:$R$10,F932)</f>
        <v>0.37</v>
      </c>
      <c r="M932" s="2">
        <f>SUMIFS($V$2:$V$10,$R$2:$R$10,D932)</f>
        <v>7.0000000000000007E-2</v>
      </c>
    </row>
    <row r="933" spans="1:13" x14ac:dyDescent="0.25">
      <c r="A933" s="2">
        <f>(A$2+A$2*K933+A$2*M933)*(1+L933)</f>
        <v>735.18719999999996</v>
      </c>
      <c r="B933" s="2">
        <f>(B$2+B$2*K933+B$2*M933)*(1+L933)</f>
        <v>855.12239999999997</v>
      </c>
      <c r="C933" s="2">
        <f>(C$2+C$2*K933+C$2*M933)*(1+L933)</f>
        <v>898.73520000000008</v>
      </c>
      <c r="D933" s="2">
        <v>7</v>
      </c>
      <c r="E933" s="2">
        <v>7</v>
      </c>
      <c r="F933" s="2">
        <v>6</v>
      </c>
      <c r="G933" s="2">
        <f>SUMIFS($S$2:$S$10,$R$2:$R$10,D933)</f>
        <v>20</v>
      </c>
      <c r="H933" s="2">
        <f>SUMIFS($S$2:$S$10,$R$2:$R$10,E933)</f>
        <v>20</v>
      </c>
      <c r="I933" s="2">
        <f>SUMIFS($S$2:$S$10,$R$2:$R$10,F933)</f>
        <v>15</v>
      </c>
      <c r="J933" s="2">
        <f>SUM(G933:I933)</f>
        <v>55</v>
      </c>
      <c r="K933" s="2">
        <f>SUMIFS($U$2:$U$10,$R$2:$R$10,E933)</f>
        <v>0.11</v>
      </c>
      <c r="L933" s="2">
        <f>SUMIFS($T$2:$T$10,$R$2:$R$10,F933)</f>
        <v>0.32</v>
      </c>
      <c r="M933" s="2">
        <f>SUMIFS($V$2:$V$10,$R$2:$R$10,D933)</f>
        <v>7.0000000000000007E-2</v>
      </c>
    </row>
    <row r="934" spans="1:13" x14ac:dyDescent="0.25">
      <c r="A934" s="2">
        <f>(A$2+A$2*K934+A$2*M934)*(1+L934)</f>
        <v>735.70640000000003</v>
      </c>
      <c r="B934" s="2">
        <f>(B$2+B$2*K934+B$2*M934)*(1+L934)</f>
        <v>855.72629999999992</v>
      </c>
      <c r="C934" s="2">
        <f>(C$2+C$2*K934+C$2*M934)*(1+L934)</f>
        <v>899.36989999999992</v>
      </c>
      <c r="D934" s="2">
        <v>8</v>
      </c>
      <c r="E934" s="2">
        <v>1</v>
      </c>
      <c r="F934" s="2">
        <v>8</v>
      </c>
      <c r="G934" s="2">
        <f>SUMIFS($S$2:$S$10,$R$2:$R$10,D934)</f>
        <v>27</v>
      </c>
      <c r="H934" s="2">
        <f>SUMIFS($S$2:$S$10,$R$2:$R$10,E934)</f>
        <v>1</v>
      </c>
      <c r="I934" s="2">
        <f>SUMIFS($S$2:$S$10,$R$2:$R$10,F934)</f>
        <v>27</v>
      </c>
      <c r="J934" s="2">
        <f>SUM(G934:I934)</f>
        <v>55</v>
      </c>
      <c r="K934" s="2">
        <f>SUMIFS($U$2:$U$10,$R$2:$R$10,E934)</f>
        <v>0.01</v>
      </c>
      <c r="L934" s="2">
        <f>SUMIFS($T$2:$T$10,$R$2:$R$10,F934)</f>
        <v>0.43</v>
      </c>
      <c r="M934" s="2">
        <f>SUMIFS($V$2:$V$10,$R$2:$R$10,D934)</f>
        <v>0.08</v>
      </c>
    </row>
    <row r="935" spans="1:13" x14ac:dyDescent="0.25">
      <c r="A935" s="2">
        <f>(A$2+A$2*K935+A$2*M935)*(1+L935)</f>
        <v>645.36559999999997</v>
      </c>
      <c r="B935" s="2">
        <f>(B$2+B$2*K935+B$2*M935)*(1+L935)</f>
        <v>750.64769999999987</v>
      </c>
      <c r="C935" s="2">
        <f>(C$2+C$2*K935+C$2*M935)*(1+L935)</f>
        <v>788.93209999999988</v>
      </c>
      <c r="D935" s="2">
        <v>8</v>
      </c>
      <c r="E935" s="2">
        <v>8</v>
      </c>
      <c r="F935" s="2">
        <v>1</v>
      </c>
      <c r="G935" s="2">
        <f>SUMIFS($S$2:$S$10,$R$2:$R$10,D935)</f>
        <v>27</v>
      </c>
      <c r="H935" s="2">
        <f>SUMIFS($S$2:$S$10,$R$2:$R$10,E935)</f>
        <v>27</v>
      </c>
      <c r="I935" s="2">
        <f>SUMIFS($S$2:$S$10,$R$2:$R$10,F935)</f>
        <v>1</v>
      </c>
      <c r="J935" s="2">
        <f>SUM(G935:I935)</f>
        <v>55</v>
      </c>
      <c r="K935" s="2">
        <f>SUMIFS($U$2:$U$10,$R$2:$R$10,E935)</f>
        <v>0.13</v>
      </c>
      <c r="L935" s="2">
        <f>SUMIFS($T$2:$T$10,$R$2:$R$10,F935)</f>
        <v>0.13</v>
      </c>
      <c r="M935" s="2">
        <f>SUMIFS($V$2:$V$10,$R$2:$R$10,D935)</f>
        <v>0.08</v>
      </c>
    </row>
    <row r="936" spans="1:13" x14ac:dyDescent="0.25">
      <c r="A936" s="2">
        <f>(A$2+A$2*K936+A$2*M936)*(1+L936)</f>
        <v>711.30400000000009</v>
      </c>
      <c r="B936" s="2">
        <f>(B$2+B$2*K936+B$2*M936)*(1+L936)</f>
        <v>827.34300000000007</v>
      </c>
      <c r="C936" s="2">
        <f>(C$2+C$2*K936+C$2*M936)*(1+L936)</f>
        <v>869.53899999999999</v>
      </c>
      <c r="D936" s="2">
        <v>9</v>
      </c>
      <c r="E936" s="2">
        <v>1</v>
      </c>
      <c r="F936" s="2">
        <v>7</v>
      </c>
      <c r="G936" s="2">
        <f>SUMIFS($S$2:$S$10,$R$2:$R$10,D936)</f>
        <v>34</v>
      </c>
      <c r="H936" s="2">
        <f>SUMIFS($S$2:$S$10,$R$2:$R$10,E936)</f>
        <v>1</v>
      </c>
      <c r="I936" s="2">
        <f>SUMIFS($S$2:$S$10,$R$2:$R$10,F936)</f>
        <v>20</v>
      </c>
      <c r="J936" s="2">
        <f>SUM(G936:I936)</f>
        <v>55</v>
      </c>
      <c r="K936" s="2">
        <f>SUMIFS($U$2:$U$10,$R$2:$R$10,E936)</f>
        <v>0.01</v>
      </c>
      <c r="L936" s="2">
        <f>SUMIFS($T$2:$T$10,$R$2:$R$10,F936)</f>
        <v>0.37</v>
      </c>
      <c r="M936" s="2">
        <f>SUMIFS($V$2:$V$10,$R$2:$R$10,D936)</f>
        <v>0.09</v>
      </c>
    </row>
    <row r="937" spans="1:13" x14ac:dyDescent="0.25">
      <c r="A937" s="2">
        <f>(A$2+A$2*K937+A$2*M937)*(1+L937)</f>
        <v>640.03199999999993</v>
      </c>
      <c r="B937" s="2">
        <f>(B$2+B$2*K937+B$2*M937)*(1+L937)</f>
        <v>744.44399999999985</v>
      </c>
      <c r="C937" s="2">
        <f>(C$2+C$2*K937+C$2*M937)*(1+L937)</f>
        <v>782.41199999999992</v>
      </c>
      <c r="D937" s="2">
        <v>9</v>
      </c>
      <c r="E937" s="2">
        <v>7</v>
      </c>
      <c r="F937" s="2">
        <v>1</v>
      </c>
      <c r="G937" s="2">
        <f>SUMIFS($S$2:$S$10,$R$2:$R$10,D937)</f>
        <v>34</v>
      </c>
      <c r="H937" s="2">
        <f>SUMIFS($S$2:$S$10,$R$2:$R$10,E937)</f>
        <v>20</v>
      </c>
      <c r="I937" s="2">
        <f>SUMIFS($S$2:$S$10,$R$2:$R$10,F937)</f>
        <v>1</v>
      </c>
      <c r="J937" s="2">
        <f>SUM(G937:I937)</f>
        <v>55</v>
      </c>
      <c r="K937" s="2">
        <f>SUMIFS($U$2:$U$10,$R$2:$R$10,E937)</f>
        <v>0.11</v>
      </c>
      <c r="L937" s="2">
        <f>SUMIFS($T$2:$T$10,$R$2:$R$10,F937)</f>
        <v>0.13</v>
      </c>
      <c r="M937" s="2">
        <f>SUMIFS($V$2:$V$10,$R$2:$R$10,D937)</f>
        <v>0.09</v>
      </c>
    </row>
    <row r="938" spans="1:13" x14ac:dyDescent="0.25">
      <c r="A938" s="1">
        <f>(A$2+A$2*K938+A$2*L938)*(1+M938)</f>
        <v>742.45600000000002</v>
      </c>
      <c r="B938" s="1">
        <f>(B$2+B$2*K938+B$2*L938)*(1+M938)</f>
        <v>863.57699999999988</v>
      </c>
      <c r="C938" s="1">
        <f>(C$2+C$2*K938+C$2*L938)*(1+M938)</f>
        <v>907.62099999999987</v>
      </c>
      <c r="D938" s="1">
        <v>8</v>
      </c>
      <c r="E938" s="1">
        <v>2</v>
      </c>
      <c r="F938" s="1">
        <v>8</v>
      </c>
      <c r="G938" s="1">
        <f>SUMIFS($S$2:$S$10,$R$2:$R$10,D938)</f>
        <v>27</v>
      </c>
      <c r="H938" s="1">
        <f>SUMIFS($S$2:$S$10,$R$2:$R$10,E938)</f>
        <v>2</v>
      </c>
      <c r="I938" s="1">
        <f>SUMIFS($S$2:$S$10,$R$2:$R$10,F938)</f>
        <v>27</v>
      </c>
      <c r="J938" s="1">
        <f>SUM(G938:I938)</f>
        <v>56</v>
      </c>
      <c r="K938" s="1">
        <f>SUMIFS($U$2:$U$10,$R$2:$R$10,E938)</f>
        <v>0.02</v>
      </c>
      <c r="L938" s="1">
        <f>SUMIFS($V$2:$V$10,$R$2:$R$10,F938)</f>
        <v>0.08</v>
      </c>
      <c r="M938" s="1">
        <f>SUMIFS($T$2:$T$10,$R$2:$R$10,D938)</f>
        <v>0.43</v>
      </c>
    </row>
    <row r="939" spans="1:13" x14ac:dyDescent="0.25">
      <c r="A939" s="1">
        <f>(A$2+A$2*K939+A$2*L939)*(1+M939)</f>
        <v>776.20400000000006</v>
      </c>
      <c r="B939" s="1">
        <f>(B$2+B$2*K939+B$2*L939)*(1+M939)</f>
        <v>902.83050000000003</v>
      </c>
      <c r="C939" s="1">
        <f>(C$2+C$2*K939+C$2*L939)*(1+M939)</f>
        <v>948.87649999999985</v>
      </c>
      <c r="D939" s="1">
        <v>8</v>
      </c>
      <c r="E939" s="1">
        <v>8</v>
      </c>
      <c r="F939" s="1">
        <v>2</v>
      </c>
      <c r="G939" s="1">
        <f>SUMIFS($S$2:$S$10,$R$2:$R$10,D939)</f>
        <v>27</v>
      </c>
      <c r="H939" s="1">
        <f>SUMIFS($S$2:$S$10,$R$2:$R$10,E939)</f>
        <v>27</v>
      </c>
      <c r="I939" s="1">
        <f>SUMIFS($S$2:$S$10,$R$2:$R$10,F939)</f>
        <v>2</v>
      </c>
      <c r="J939" s="1">
        <f>SUM(G939:I939)</f>
        <v>56</v>
      </c>
      <c r="K939" s="1">
        <f>SUMIFS($U$2:$U$10,$R$2:$R$10,E939)</f>
        <v>0.13</v>
      </c>
      <c r="L939" s="1">
        <f>SUMIFS($V$2:$V$10,$R$2:$R$10,F939)</f>
        <v>0.02</v>
      </c>
      <c r="M939" s="1">
        <f>SUMIFS($T$2:$T$10,$R$2:$R$10,D939)</f>
        <v>0.43</v>
      </c>
    </row>
    <row r="940" spans="1:13" x14ac:dyDescent="0.25">
      <c r="A940" s="1">
        <f>(A$2+A$2*K940+A$2*L940)*(1+M940)</f>
        <v>766.5752</v>
      </c>
      <c r="B940" s="1">
        <f>(B$2+B$2*K940+B$2*L940)*(1+M940)</f>
        <v>891.63090000000011</v>
      </c>
      <c r="C940" s="1">
        <f>(C$2+C$2*K940+C$2*L940)*(1+M940)</f>
        <v>937.10569999999996</v>
      </c>
      <c r="D940" s="1">
        <v>9</v>
      </c>
      <c r="E940" s="1">
        <v>2</v>
      </c>
      <c r="F940" s="1">
        <v>7</v>
      </c>
      <c r="G940" s="1">
        <f>SUMIFS($S$2:$S$10,$R$2:$R$10,D940)</f>
        <v>34</v>
      </c>
      <c r="H940" s="1">
        <f>SUMIFS($S$2:$S$10,$R$2:$R$10,E940)</f>
        <v>2</v>
      </c>
      <c r="I940" s="1">
        <f>SUMIFS($S$2:$S$10,$R$2:$R$10,F940)</f>
        <v>20</v>
      </c>
      <c r="J940" s="1">
        <f>SUM(G940:I940)</f>
        <v>56</v>
      </c>
      <c r="K940" s="1">
        <f>SUMIFS($U$2:$U$10,$R$2:$R$10,E940)</f>
        <v>0.02</v>
      </c>
      <c r="L940" s="1">
        <f>SUMIFS($V$2:$V$10,$R$2:$R$10,F940)</f>
        <v>7.0000000000000007E-2</v>
      </c>
      <c r="M940" s="1">
        <f>SUMIFS($T$2:$T$10,$R$2:$R$10,D940)</f>
        <v>0.49</v>
      </c>
    </row>
    <row r="941" spans="1:13" x14ac:dyDescent="0.25">
      <c r="A941" s="1">
        <f>(A$2+A$2*K941+A$2*L941)*(1+M941)</f>
        <v>780.64080000000013</v>
      </c>
      <c r="B941" s="1">
        <f>(B$2+B$2*K941+B$2*L941)*(1+M941)</f>
        <v>907.99110000000019</v>
      </c>
      <c r="C941" s="1">
        <f>(C$2+C$2*K941+C$2*L941)*(1+M941)</f>
        <v>954.30029999999999</v>
      </c>
      <c r="D941" s="1">
        <v>9</v>
      </c>
      <c r="E941" s="1">
        <v>4</v>
      </c>
      <c r="F941" s="1">
        <v>6</v>
      </c>
      <c r="G941" s="1">
        <f>SUMIFS($S$2:$S$10,$R$2:$R$10,D941)</f>
        <v>34</v>
      </c>
      <c r="H941" s="1">
        <f>SUMIFS($S$2:$S$10,$R$2:$R$10,E941)</f>
        <v>7</v>
      </c>
      <c r="I941" s="1">
        <f>SUMIFS($S$2:$S$10,$R$2:$R$10,F941)</f>
        <v>15</v>
      </c>
      <c r="J941" s="1">
        <f>SUM(G941:I941)</f>
        <v>56</v>
      </c>
      <c r="K941" s="1">
        <f>SUMIFS($U$2:$U$10,$R$2:$R$10,E941)</f>
        <v>0.05</v>
      </c>
      <c r="L941" s="1">
        <f>SUMIFS($V$2:$V$10,$R$2:$R$10,F941)</f>
        <v>0.06</v>
      </c>
      <c r="M941" s="1">
        <f>SUMIFS($T$2:$T$10,$R$2:$R$10,D941)</f>
        <v>0.49</v>
      </c>
    </row>
    <row r="942" spans="1:13" x14ac:dyDescent="0.25">
      <c r="A942" s="1">
        <f>(A$2+A$2*K942+A$2*L942)*(1+M942)</f>
        <v>794.70640000000003</v>
      </c>
      <c r="B942" s="1">
        <f>(B$2+B$2*K942+B$2*L942)*(1+M942)</f>
        <v>924.35130000000004</v>
      </c>
      <c r="C942" s="1">
        <f>(C$2+C$2*K942+C$2*L942)*(1+M942)</f>
        <v>971.49490000000003</v>
      </c>
      <c r="D942" s="1">
        <v>9</v>
      </c>
      <c r="E942" s="1">
        <v>6</v>
      </c>
      <c r="F942" s="1">
        <v>4</v>
      </c>
      <c r="G942" s="1">
        <f>SUMIFS($S$2:$S$10,$R$2:$R$10,D942)</f>
        <v>34</v>
      </c>
      <c r="H942" s="1">
        <f>SUMIFS($S$2:$S$10,$R$2:$R$10,E942)</f>
        <v>15</v>
      </c>
      <c r="I942" s="1">
        <f>SUMIFS($S$2:$S$10,$R$2:$R$10,F942)</f>
        <v>7</v>
      </c>
      <c r="J942" s="1">
        <f>SUM(G942:I942)</f>
        <v>56</v>
      </c>
      <c r="K942" s="1">
        <f>SUMIFS($U$2:$U$10,$R$2:$R$10,E942)</f>
        <v>0.09</v>
      </c>
      <c r="L942" s="1">
        <f>SUMIFS($V$2:$V$10,$R$2:$R$10,F942)</f>
        <v>0.04</v>
      </c>
      <c r="M942" s="1">
        <f>SUMIFS($T$2:$T$10,$R$2:$R$10,D942)</f>
        <v>0.49</v>
      </c>
    </row>
    <row r="943" spans="1:13" x14ac:dyDescent="0.25">
      <c r="A943" s="1">
        <f>(A$2+A$2*K943+A$2*L943)*(1+M943)</f>
        <v>794.70640000000003</v>
      </c>
      <c r="B943" s="1">
        <f>(B$2+B$2*K943+B$2*L943)*(1+M943)</f>
        <v>924.35130000000004</v>
      </c>
      <c r="C943" s="1">
        <f>(C$2+C$2*K943+C$2*L943)*(1+M943)</f>
        <v>971.49490000000003</v>
      </c>
      <c r="D943" s="1">
        <v>9</v>
      </c>
      <c r="E943" s="1">
        <v>7</v>
      </c>
      <c r="F943" s="1">
        <v>2</v>
      </c>
      <c r="G943" s="1">
        <f>SUMIFS($S$2:$S$10,$R$2:$R$10,D943)</f>
        <v>34</v>
      </c>
      <c r="H943" s="1">
        <f>SUMIFS($S$2:$S$10,$R$2:$R$10,E943)</f>
        <v>20</v>
      </c>
      <c r="I943" s="1">
        <f>SUMIFS($S$2:$S$10,$R$2:$R$10,F943)</f>
        <v>2</v>
      </c>
      <c r="J943" s="1">
        <f>SUM(G943:I943)</f>
        <v>56</v>
      </c>
      <c r="K943" s="1">
        <f>SUMIFS($U$2:$U$10,$R$2:$R$10,E943)</f>
        <v>0.11</v>
      </c>
      <c r="L943" s="1">
        <f>SUMIFS($V$2:$V$10,$R$2:$R$10,F943)</f>
        <v>0.02</v>
      </c>
      <c r="M943" s="1">
        <f>SUMIFS($T$2:$T$10,$R$2:$R$10,D943)</f>
        <v>0.49</v>
      </c>
    </row>
    <row r="944" spans="1:13" x14ac:dyDescent="0.25">
      <c r="A944" s="3">
        <f>(A$2+A$2*M944+A$2*L944)*(1+K944)</f>
        <v>662.49919999999997</v>
      </c>
      <c r="B944" s="3">
        <f>(B$2+B$2*M944+B$2*L944)*(1+K944)</f>
        <v>770.57639999999992</v>
      </c>
      <c r="C944" s="3">
        <f>(C$2+C$2*M944+C$2*L944)*(1+K944)</f>
        <v>809.8771999999999</v>
      </c>
      <c r="D944" s="3">
        <v>8</v>
      </c>
      <c r="E944" s="3">
        <v>2</v>
      </c>
      <c r="F944" s="3">
        <v>8</v>
      </c>
      <c r="G944" s="3">
        <f>SUMIFS($S$2:$S$10,$R$2:$R$10,D944)</f>
        <v>27</v>
      </c>
      <c r="H944" s="3">
        <f>SUMIFS($S$2:$S$10,$R$2:$R$10,E944)</f>
        <v>2</v>
      </c>
      <c r="I944" s="3">
        <f>SUMIFS($S$2:$S$10,$R$2:$R$10,F944)</f>
        <v>27</v>
      </c>
      <c r="J944" s="3">
        <f>SUM(G944:I944)</f>
        <v>56</v>
      </c>
      <c r="K944" s="3">
        <f>SUMIFS($T$2:$T$10,$R$2:$R$10,E944)</f>
        <v>0.16</v>
      </c>
      <c r="L944" s="3">
        <f>SUMIFS($V$2:$V$10,$R$2:$R$10,F944)</f>
        <v>0.08</v>
      </c>
      <c r="M944" s="3">
        <f>SUMIFS($U$2:$U$10,$R$2:$R$10,D944)</f>
        <v>0.13</v>
      </c>
    </row>
    <row r="945" spans="1:13" x14ac:dyDescent="0.25">
      <c r="A945" s="3">
        <f>(A$2+A$2*M945+A$2*L945)*(1+K945)</f>
        <v>776.20400000000006</v>
      </c>
      <c r="B945" s="3">
        <f>(B$2+B$2*M945+B$2*L945)*(1+K945)</f>
        <v>902.83050000000003</v>
      </c>
      <c r="C945" s="3">
        <f>(C$2+C$2*M945+C$2*L945)*(1+K945)</f>
        <v>948.87649999999985</v>
      </c>
      <c r="D945" s="3">
        <v>8</v>
      </c>
      <c r="E945" s="3">
        <v>8</v>
      </c>
      <c r="F945" s="3">
        <v>2</v>
      </c>
      <c r="G945" s="3">
        <f>SUMIFS($S$2:$S$10,$R$2:$R$10,D945)</f>
        <v>27</v>
      </c>
      <c r="H945" s="3">
        <f>SUMIFS($S$2:$S$10,$R$2:$R$10,E945)</f>
        <v>27</v>
      </c>
      <c r="I945" s="3">
        <f>SUMIFS($S$2:$S$10,$R$2:$R$10,F945)</f>
        <v>2</v>
      </c>
      <c r="J945" s="3">
        <f>SUM(G945:I945)</f>
        <v>56</v>
      </c>
      <c r="K945" s="3">
        <f>SUMIFS($T$2:$T$10,$R$2:$R$10,E945)</f>
        <v>0.43</v>
      </c>
      <c r="L945" s="3">
        <f>SUMIFS($V$2:$V$10,$R$2:$R$10,F945)</f>
        <v>0.02</v>
      </c>
      <c r="M945" s="3">
        <f>SUMIFS($U$2:$U$10,$R$2:$R$10,D945)</f>
        <v>0.13</v>
      </c>
    </row>
    <row r="946" spans="1:13" x14ac:dyDescent="0.25">
      <c r="A946" s="3">
        <f>(A$2+A$2*M946+A$2*L946)*(1+K946)</f>
        <v>667.97439999999983</v>
      </c>
      <c r="B946" s="3">
        <f>(B$2+B$2*M946+B$2*L946)*(1+K946)</f>
        <v>776.94479999999987</v>
      </c>
      <c r="C946" s="3">
        <f>(C$2+C$2*M946+C$2*L946)*(1+K946)</f>
        <v>816.57039999999984</v>
      </c>
      <c r="D946" s="3">
        <v>9</v>
      </c>
      <c r="E946" s="3">
        <v>2</v>
      </c>
      <c r="F946" s="3">
        <v>7</v>
      </c>
      <c r="G946" s="3">
        <f>SUMIFS($S$2:$S$10,$R$2:$R$10,D946)</f>
        <v>34</v>
      </c>
      <c r="H946" s="3">
        <f>SUMIFS($S$2:$S$10,$R$2:$R$10,E946)</f>
        <v>2</v>
      </c>
      <c r="I946" s="3">
        <f>SUMIFS($S$2:$S$10,$R$2:$R$10,F946)</f>
        <v>20</v>
      </c>
      <c r="J946" s="3">
        <f>SUM(G946:I946)</f>
        <v>56</v>
      </c>
      <c r="K946" s="3">
        <f>SUMIFS($T$2:$T$10,$R$2:$R$10,E946)</f>
        <v>0.16</v>
      </c>
      <c r="L946" s="3">
        <f>SUMIFS($V$2:$V$10,$R$2:$R$10,F946)</f>
        <v>7.0000000000000007E-2</v>
      </c>
      <c r="M946" s="3">
        <f>SUMIFS($U$2:$U$10,$R$2:$R$10,D946)</f>
        <v>0.15</v>
      </c>
    </row>
    <row r="947" spans="1:13" x14ac:dyDescent="0.25">
      <c r="A947" s="3">
        <f>(A$2+A$2*M947+A$2*L947)*(1+K947)</f>
        <v>696.76639999999998</v>
      </c>
      <c r="B947" s="3">
        <f>(B$2+B$2*M947+B$2*L947)*(1+K947)</f>
        <v>810.43379999999991</v>
      </c>
      <c r="C947" s="3">
        <f>(C$2+C$2*M947+C$2*L947)*(1+K947)</f>
        <v>851.76739999999995</v>
      </c>
      <c r="D947" s="3">
        <v>9</v>
      </c>
      <c r="E947" s="3">
        <v>4</v>
      </c>
      <c r="F947" s="3">
        <v>6</v>
      </c>
      <c r="G947" s="3">
        <f>SUMIFS($S$2:$S$10,$R$2:$R$10,D947)</f>
        <v>34</v>
      </c>
      <c r="H947" s="3">
        <f>SUMIFS($S$2:$S$10,$R$2:$R$10,E947)</f>
        <v>7</v>
      </c>
      <c r="I947" s="3">
        <f>SUMIFS($S$2:$S$10,$R$2:$R$10,F947)</f>
        <v>15</v>
      </c>
      <c r="J947" s="3">
        <f>SUM(G947:I947)</f>
        <v>56</v>
      </c>
      <c r="K947" s="3">
        <f>SUMIFS($T$2:$T$10,$R$2:$R$10,E947)</f>
        <v>0.22</v>
      </c>
      <c r="L947" s="3">
        <f>SUMIFS($V$2:$V$10,$R$2:$R$10,F947)</f>
        <v>0.06</v>
      </c>
      <c r="M947" s="3">
        <f>SUMIFS($U$2:$U$10,$R$2:$R$10,D947)</f>
        <v>0.15</v>
      </c>
    </row>
    <row r="948" spans="1:13" x14ac:dyDescent="0.25">
      <c r="A948" s="3">
        <f>(A$2+A$2*M948+A$2*L948)*(1+K948)</f>
        <v>741.41759999999999</v>
      </c>
      <c r="B948" s="3">
        <f>(B$2+B$2*M948+B$2*L948)*(1+K948)</f>
        <v>862.36920000000009</v>
      </c>
      <c r="C948" s="3">
        <f>(C$2+C$2*M948+C$2*L948)*(1+K948)</f>
        <v>906.35160000000008</v>
      </c>
      <c r="D948" s="3">
        <v>9</v>
      </c>
      <c r="E948" s="3">
        <v>6</v>
      </c>
      <c r="F948" s="3">
        <v>4</v>
      </c>
      <c r="G948" s="3">
        <f>SUMIFS($S$2:$S$10,$R$2:$R$10,D948)</f>
        <v>34</v>
      </c>
      <c r="H948" s="3">
        <f>SUMIFS($S$2:$S$10,$R$2:$R$10,E948)</f>
        <v>15</v>
      </c>
      <c r="I948" s="3">
        <f>SUMIFS($S$2:$S$10,$R$2:$R$10,F948)</f>
        <v>7</v>
      </c>
      <c r="J948" s="3">
        <f>SUM(G948:I948)</f>
        <v>56</v>
      </c>
      <c r="K948" s="3">
        <f>SUMIFS($T$2:$T$10,$R$2:$R$10,E948)</f>
        <v>0.32</v>
      </c>
      <c r="L948" s="3">
        <f>SUMIFS($V$2:$V$10,$R$2:$R$10,F948)</f>
        <v>0.04</v>
      </c>
      <c r="M948" s="3">
        <f>SUMIFS($U$2:$U$10,$R$2:$R$10,D948)</f>
        <v>0.15</v>
      </c>
    </row>
    <row r="949" spans="1:13" x14ac:dyDescent="0.25">
      <c r="A949" s="3">
        <f>(A$2+A$2*M949+A$2*L949)*(1+K949)</f>
        <v>756.56880000000012</v>
      </c>
      <c r="B949" s="3">
        <f>(B$2+B$2*M949+B$2*L949)*(1+K949)</f>
        <v>879.99210000000016</v>
      </c>
      <c r="C949" s="3">
        <f>(C$2+C$2*M949+C$2*L949)*(1+K949)</f>
        <v>924.87329999999997</v>
      </c>
      <c r="D949" s="3">
        <v>9</v>
      </c>
      <c r="E949" s="3">
        <v>7</v>
      </c>
      <c r="F949" s="3">
        <v>2</v>
      </c>
      <c r="G949" s="3">
        <f>SUMIFS($S$2:$S$10,$R$2:$R$10,D949)</f>
        <v>34</v>
      </c>
      <c r="H949" s="3">
        <f>SUMIFS($S$2:$S$10,$R$2:$R$10,E949)</f>
        <v>20</v>
      </c>
      <c r="I949" s="3">
        <f>SUMIFS($S$2:$S$10,$R$2:$R$10,F949)</f>
        <v>2</v>
      </c>
      <c r="J949" s="3">
        <f>SUM(G949:I949)</f>
        <v>56</v>
      </c>
      <c r="K949" s="3">
        <f>SUMIFS($T$2:$T$10,$R$2:$R$10,E949)</f>
        <v>0.37</v>
      </c>
      <c r="L949" s="3">
        <f>SUMIFS($V$2:$V$10,$R$2:$R$10,F949)</f>
        <v>0.02</v>
      </c>
      <c r="M949" s="3">
        <f>SUMIFS($U$2:$U$10,$R$2:$R$10,D949)</f>
        <v>0.15</v>
      </c>
    </row>
    <row r="950" spans="1:13" x14ac:dyDescent="0.25">
      <c r="A950" s="2">
        <f>(A$2+A$2*K950+A$2*M950)*(1+L950)</f>
        <v>742.45600000000002</v>
      </c>
      <c r="B950" s="2">
        <f>(B$2+B$2*K950+B$2*M950)*(1+L950)</f>
        <v>863.57699999999988</v>
      </c>
      <c r="C950" s="2">
        <f>(C$2+C$2*K950+C$2*M950)*(1+L950)</f>
        <v>907.62099999999987</v>
      </c>
      <c r="D950" s="2">
        <v>8</v>
      </c>
      <c r="E950" s="2">
        <v>2</v>
      </c>
      <c r="F950" s="2">
        <v>8</v>
      </c>
      <c r="G950" s="2">
        <f>SUMIFS($S$2:$S$10,$R$2:$R$10,D950)</f>
        <v>27</v>
      </c>
      <c r="H950" s="2">
        <f>SUMIFS($S$2:$S$10,$R$2:$R$10,E950)</f>
        <v>2</v>
      </c>
      <c r="I950" s="2">
        <f>SUMIFS($S$2:$S$10,$R$2:$R$10,F950)</f>
        <v>27</v>
      </c>
      <c r="J950" s="2">
        <f>SUM(G950:I950)</f>
        <v>56</v>
      </c>
      <c r="K950" s="2">
        <f>SUMIFS($U$2:$U$10,$R$2:$R$10,E950)</f>
        <v>0.02</v>
      </c>
      <c r="L950" s="2">
        <f>SUMIFS($T$2:$T$10,$R$2:$R$10,F950)</f>
        <v>0.43</v>
      </c>
      <c r="M950" s="2">
        <f>SUMIFS($V$2:$V$10,$R$2:$R$10,D950)</f>
        <v>0.08</v>
      </c>
    </row>
    <row r="951" spans="1:13" x14ac:dyDescent="0.25">
      <c r="A951" s="2">
        <f>(A$2+A$2*K951+A$2*M951)*(1+L951)</f>
        <v>662.49919999999997</v>
      </c>
      <c r="B951" s="2">
        <f>(B$2+B$2*K951+B$2*M951)*(1+L951)</f>
        <v>770.57639999999992</v>
      </c>
      <c r="C951" s="2">
        <f>(C$2+C$2*K951+C$2*M951)*(1+L951)</f>
        <v>809.8771999999999</v>
      </c>
      <c r="D951" s="2">
        <v>8</v>
      </c>
      <c r="E951" s="2">
        <v>8</v>
      </c>
      <c r="F951" s="2">
        <v>2</v>
      </c>
      <c r="G951" s="2">
        <f>SUMIFS($S$2:$S$10,$R$2:$R$10,D951)</f>
        <v>27</v>
      </c>
      <c r="H951" s="2">
        <f>SUMIFS($S$2:$S$10,$R$2:$R$10,E951)</f>
        <v>27</v>
      </c>
      <c r="I951" s="2">
        <f>SUMIFS($S$2:$S$10,$R$2:$R$10,F951)</f>
        <v>2</v>
      </c>
      <c r="J951" s="2">
        <f>SUM(G951:I951)</f>
        <v>56</v>
      </c>
      <c r="K951" s="2">
        <f>SUMIFS($U$2:$U$10,$R$2:$R$10,E951)</f>
        <v>0.13</v>
      </c>
      <c r="L951" s="2">
        <f>SUMIFS($T$2:$T$10,$R$2:$R$10,F951)</f>
        <v>0.16</v>
      </c>
      <c r="M951" s="2">
        <f>SUMIFS($V$2:$V$10,$R$2:$R$10,D951)</f>
        <v>0.08</v>
      </c>
    </row>
    <row r="952" spans="1:13" x14ac:dyDescent="0.25">
      <c r="A952" s="2">
        <f>(A$2+A$2*K952+A$2*M952)*(1+L952)</f>
        <v>717.7704</v>
      </c>
      <c r="B952" s="2">
        <f>(B$2+B$2*K952+B$2*M952)*(1+L952)</f>
        <v>834.86430000000007</v>
      </c>
      <c r="C952" s="2">
        <f>(C$2+C$2*K952+C$2*M952)*(1+L952)</f>
        <v>877.44389999999999</v>
      </c>
      <c r="D952" s="2">
        <v>9</v>
      </c>
      <c r="E952" s="2">
        <v>2</v>
      </c>
      <c r="F952" s="2">
        <v>7</v>
      </c>
      <c r="G952" s="2">
        <f>SUMIFS($S$2:$S$10,$R$2:$R$10,D952)</f>
        <v>34</v>
      </c>
      <c r="H952" s="2">
        <f>SUMIFS($S$2:$S$10,$R$2:$R$10,E952)</f>
        <v>2</v>
      </c>
      <c r="I952" s="2">
        <f>SUMIFS($S$2:$S$10,$R$2:$R$10,F952)</f>
        <v>20</v>
      </c>
      <c r="J952" s="2">
        <f>SUM(G952:I952)</f>
        <v>56</v>
      </c>
      <c r="K952" s="2">
        <f>SUMIFS($U$2:$U$10,$R$2:$R$10,E952)</f>
        <v>0.02</v>
      </c>
      <c r="L952" s="2">
        <f>SUMIFS($T$2:$T$10,$R$2:$R$10,F952)</f>
        <v>0.37</v>
      </c>
      <c r="M952" s="2">
        <f>SUMIFS($V$2:$V$10,$R$2:$R$10,D952)</f>
        <v>0.09</v>
      </c>
    </row>
    <row r="953" spans="1:13" x14ac:dyDescent="0.25">
      <c r="A953" s="2">
        <f>(A$2+A$2*K953+A$2*M953)*(1+L953)</f>
        <v>710.26560000000006</v>
      </c>
      <c r="B953" s="2">
        <f>(B$2+B$2*K953+B$2*M953)*(1+L953)</f>
        <v>826.13520000000005</v>
      </c>
      <c r="C953" s="2">
        <f>(C$2+C$2*K953+C$2*M953)*(1+L953)</f>
        <v>868.26959999999997</v>
      </c>
      <c r="D953" s="2">
        <v>9</v>
      </c>
      <c r="E953" s="2">
        <v>4</v>
      </c>
      <c r="F953" s="2">
        <v>6</v>
      </c>
      <c r="G953" s="2">
        <f>SUMIFS($S$2:$S$10,$R$2:$R$10,D953)</f>
        <v>34</v>
      </c>
      <c r="H953" s="2">
        <f>SUMIFS($S$2:$S$10,$R$2:$R$10,E953)</f>
        <v>7</v>
      </c>
      <c r="I953" s="2">
        <f>SUMIFS($S$2:$S$10,$R$2:$R$10,F953)</f>
        <v>15</v>
      </c>
      <c r="J953" s="2">
        <f>SUM(G953:I953)</f>
        <v>56</v>
      </c>
      <c r="K953" s="2">
        <f>SUMIFS($U$2:$U$10,$R$2:$R$10,E953)</f>
        <v>0.05</v>
      </c>
      <c r="L953" s="2">
        <f>SUMIFS($T$2:$T$10,$R$2:$R$10,F953)</f>
        <v>0.32</v>
      </c>
      <c r="M953" s="2">
        <f>SUMIFS($V$2:$V$10,$R$2:$R$10,D953)</f>
        <v>0.09</v>
      </c>
    </row>
    <row r="954" spans="1:13" x14ac:dyDescent="0.25">
      <c r="A954" s="2">
        <f>(A$2+A$2*K954+A$2*M954)*(1+L954)</f>
        <v>679.49120000000005</v>
      </c>
      <c r="B954" s="2">
        <f>(B$2+B$2*K954+B$2*M954)*(1+L954)</f>
        <v>790.34039999999993</v>
      </c>
      <c r="C954" s="2">
        <f>(C$2+C$2*K954+C$2*M954)*(1+L954)</f>
        <v>830.64919999999984</v>
      </c>
      <c r="D954" s="2">
        <v>9</v>
      </c>
      <c r="E954" s="2">
        <v>6</v>
      </c>
      <c r="F954" s="2">
        <v>4</v>
      </c>
      <c r="G954" s="2">
        <f>SUMIFS($S$2:$S$10,$R$2:$R$10,D954)</f>
        <v>34</v>
      </c>
      <c r="H954" s="2">
        <f>SUMIFS($S$2:$S$10,$R$2:$R$10,E954)</f>
        <v>15</v>
      </c>
      <c r="I954" s="2">
        <f>SUMIFS($S$2:$S$10,$R$2:$R$10,F954)</f>
        <v>7</v>
      </c>
      <c r="J954" s="2">
        <f>SUM(G954:I954)</f>
        <v>56</v>
      </c>
      <c r="K954" s="2">
        <f>SUMIFS($U$2:$U$10,$R$2:$R$10,E954)</f>
        <v>0.09</v>
      </c>
      <c r="L954" s="2">
        <f>SUMIFS($T$2:$T$10,$R$2:$R$10,F954)</f>
        <v>0.22</v>
      </c>
      <c r="M954" s="2">
        <f>SUMIFS($V$2:$V$10,$R$2:$R$10,D954)</f>
        <v>0.09</v>
      </c>
    </row>
    <row r="955" spans="1:13" x14ac:dyDescent="0.25">
      <c r="A955" s="2">
        <f>(A$2+A$2*K955+A$2*M955)*(1+L955)</f>
        <v>657.02399999999989</v>
      </c>
      <c r="B955" s="2">
        <f>(B$2+B$2*K955+B$2*M955)*(1+L955)</f>
        <v>764.20799999999986</v>
      </c>
      <c r="C955" s="2">
        <f>(C$2+C$2*K955+C$2*M955)*(1+L955)</f>
        <v>803.18399999999997</v>
      </c>
      <c r="D955" s="2">
        <v>9</v>
      </c>
      <c r="E955" s="2">
        <v>7</v>
      </c>
      <c r="F955" s="2">
        <v>2</v>
      </c>
      <c r="G955" s="2">
        <f>SUMIFS($S$2:$S$10,$R$2:$R$10,D955)</f>
        <v>34</v>
      </c>
      <c r="H955" s="2">
        <f>SUMIFS($S$2:$S$10,$R$2:$R$10,E955)</f>
        <v>20</v>
      </c>
      <c r="I955" s="2">
        <f>SUMIFS($S$2:$S$10,$R$2:$R$10,F955)</f>
        <v>2</v>
      </c>
      <c r="J955" s="2">
        <f>SUM(G955:I955)</f>
        <v>56</v>
      </c>
      <c r="K955" s="2">
        <f>SUMIFS($U$2:$U$10,$R$2:$R$10,E955)</f>
        <v>0.11</v>
      </c>
      <c r="L955" s="2">
        <f>SUMIFS($T$2:$T$10,$R$2:$R$10,F955)</f>
        <v>0.16</v>
      </c>
      <c r="M955" s="2">
        <f>SUMIFS($V$2:$V$10,$R$2:$R$10,D955)</f>
        <v>0.09</v>
      </c>
    </row>
    <row r="956" spans="1:13" x14ac:dyDescent="0.25">
      <c r="A956" s="1">
        <f>(A$2+A$2*K956+A$2*L956)*(1+M956)</f>
        <v>769.45440000000008</v>
      </c>
      <c r="B956" s="1">
        <f>(B$2+B$2*K956+B$2*L956)*(1+M956)</f>
        <v>894.97980000000018</v>
      </c>
      <c r="C956" s="1">
        <f>(C$2+C$2*K956+C$2*L956)*(1+M956)</f>
        <v>940.6253999999999</v>
      </c>
      <c r="D956" s="1">
        <v>8</v>
      </c>
      <c r="E956" s="1">
        <v>5</v>
      </c>
      <c r="F956" s="1">
        <v>7</v>
      </c>
      <c r="G956" s="1">
        <f>SUMIFS($S$2:$S$10,$R$2:$R$10,D956)</f>
        <v>27</v>
      </c>
      <c r="H956" s="1">
        <f>SUMIFS($S$2:$S$10,$R$2:$R$10,E956)</f>
        <v>10</v>
      </c>
      <c r="I956" s="1">
        <f>SUMIFS($S$2:$S$10,$R$2:$R$10,F956)</f>
        <v>20</v>
      </c>
      <c r="J956" s="1">
        <f>SUM(G956:I956)</f>
        <v>57</v>
      </c>
      <c r="K956" s="1">
        <f>SUMIFS($U$2:$U$10,$R$2:$R$10,E956)</f>
        <v>7.0000000000000007E-2</v>
      </c>
      <c r="L956" s="1">
        <f>SUMIFS($V$2:$V$10,$R$2:$R$10,F956)</f>
        <v>7.0000000000000007E-2</v>
      </c>
      <c r="M956" s="1">
        <f>SUMIFS($T$2:$T$10,$R$2:$R$10,D956)</f>
        <v>0.43</v>
      </c>
    </row>
    <row r="957" spans="1:13" x14ac:dyDescent="0.25">
      <c r="A957" s="1">
        <f>(A$2+A$2*K957+A$2*L957)*(1+M957)</f>
        <v>776.20400000000006</v>
      </c>
      <c r="B957" s="1">
        <f>(B$2+B$2*K957+B$2*L957)*(1+M957)</f>
        <v>902.8304999999998</v>
      </c>
      <c r="C957" s="1">
        <f>(C$2+C$2*K957+C$2*L957)*(1+M957)</f>
        <v>948.87649999999985</v>
      </c>
      <c r="D957" s="1">
        <v>8</v>
      </c>
      <c r="E957" s="1">
        <v>6</v>
      </c>
      <c r="F957" s="1">
        <v>6</v>
      </c>
      <c r="G957" s="1">
        <f>SUMIFS($S$2:$S$10,$R$2:$R$10,D957)</f>
        <v>27</v>
      </c>
      <c r="H957" s="1">
        <f>SUMIFS($S$2:$S$10,$R$2:$R$10,E957)</f>
        <v>15</v>
      </c>
      <c r="I957" s="1">
        <f>SUMIFS($S$2:$S$10,$R$2:$R$10,F957)</f>
        <v>15</v>
      </c>
      <c r="J957" s="1">
        <f>SUM(G957:I957)</f>
        <v>57</v>
      </c>
      <c r="K957" s="1">
        <f>SUMIFS($U$2:$U$10,$R$2:$R$10,E957)</f>
        <v>0.09</v>
      </c>
      <c r="L957" s="1">
        <f>SUMIFS($V$2:$V$10,$R$2:$R$10,F957)</f>
        <v>0.06</v>
      </c>
      <c r="M957" s="1">
        <f>SUMIFS($T$2:$T$10,$R$2:$R$10,D957)</f>
        <v>0.43</v>
      </c>
    </row>
    <row r="958" spans="1:13" x14ac:dyDescent="0.25">
      <c r="A958" s="1">
        <f>(A$2+A$2*K958+A$2*L958)*(1+M958)</f>
        <v>782.95359999999994</v>
      </c>
      <c r="B958" s="1">
        <f>(B$2+B$2*K958+B$2*L958)*(1+M958)</f>
        <v>910.68119999999999</v>
      </c>
      <c r="C958" s="1">
        <f>(C$2+C$2*K958+C$2*L958)*(1+M958)</f>
        <v>957.12760000000003</v>
      </c>
      <c r="D958" s="1">
        <v>8</v>
      </c>
      <c r="E958" s="1">
        <v>7</v>
      </c>
      <c r="F958" s="1">
        <v>5</v>
      </c>
      <c r="G958" s="1">
        <f>SUMIFS($S$2:$S$10,$R$2:$R$10,D958)</f>
        <v>27</v>
      </c>
      <c r="H958" s="1">
        <f>SUMIFS($S$2:$S$10,$R$2:$R$10,E958)</f>
        <v>20</v>
      </c>
      <c r="I958" s="1">
        <f>SUMIFS($S$2:$S$10,$R$2:$R$10,F958)</f>
        <v>10</v>
      </c>
      <c r="J958" s="1">
        <f>SUM(G958:I958)</f>
        <v>57</v>
      </c>
      <c r="K958" s="1">
        <f>SUMIFS($U$2:$U$10,$R$2:$R$10,E958)</f>
        <v>0.11</v>
      </c>
      <c r="L958" s="1">
        <f>SUMIFS($V$2:$V$10,$R$2:$R$10,F958)</f>
        <v>0.05</v>
      </c>
      <c r="M958" s="1">
        <f>SUMIFS($T$2:$T$10,$R$2:$R$10,D958)</f>
        <v>0.43</v>
      </c>
    </row>
    <row r="959" spans="1:13" x14ac:dyDescent="0.25">
      <c r="A959" s="3">
        <f>(A$2+A$2*M959+A$2*L959)*(1+K959)</f>
        <v>719.32799999999997</v>
      </c>
      <c r="B959" s="3">
        <f>(B$2+B$2*M959+B$2*L959)*(1+K959)</f>
        <v>836.67599999999993</v>
      </c>
      <c r="C959" s="3">
        <f>(C$2+C$2*M959+C$2*L959)*(1+K959)</f>
        <v>879.34799999999996</v>
      </c>
      <c r="D959" s="3">
        <v>8</v>
      </c>
      <c r="E959" s="3">
        <v>5</v>
      </c>
      <c r="F959" s="3">
        <v>7</v>
      </c>
      <c r="G959" s="3">
        <f>SUMIFS($S$2:$S$10,$R$2:$R$10,D959)</f>
        <v>27</v>
      </c>
      <c r="H959" s="3">
        <f>SUMIFS($S$2:$S$10,$R$2:$R$10,E959)</f>
        <v>10</v>
      </c>
      <c r="I959" s="3">
        <f>SUMIFS($S$2:$S$10,$R$2:$R$10,F959)</f>
        <v>20</v>
      </c>
      <c r="J959" s="3">
        <f>SUM(G959:I959)</f>
        <v>57</v>
      </c>
      <c r="K959" s="3">
        <f>SUMIFS($T$2:$T$10,$R$2:$R$10,E959)</f>
        <v>0.27</v>
      </c>
      <c r="L959" s="3">
        <f>SUMIFS($V$2:$V$10,$R$2:$R$10,F959)</f>
        <v>7.0000000000000007E-2</v>
      </c>
      <c r="M959" s="3">
        <f>SUMIFS($U$2:$U$10,$R$2:$R$10,D959)</f>
        <v>0.13</v>
      </c>
    </row>
    <row r="960" spans="1:13" x14ac:dyDescent="0.25">
      <c r="A960" s="3">
        <f>(A$2+A$2*M960+A$2*L960)*(1+K960)</f>
        <v>741.41760000000011</v>
      </c>
      <c r="B960" s="3">
        <f>(B$2+B$2*M960+B$2*L960)*(1+K960)</f>
        <v>862.36919999999998</v>
      </c>
      <c r="C960" s="3">
        <f>(C$2+C$2*M960+C$2*L960)*(1+K960)</f>
        <v>906.35160000000008</v>
      </c>
      <c r="D960" s="3">
        <v>8</v>
      </c>
      <c r="E960" s="3">
        <v>6</v>
      </c>
      <c r="F960" s="3">
        <v>6</v>
      </c>
      <c r="G960" s="3">
        <f>SUMIFS($S$2:$S$10,$R$2:$R$10,D960)</f>
        <v>27</v>
      </c>
      <c r="H960" s="3">
        <f>SUMIFS($S$2:$S$10,$R$2:$R$10,E960)</f>
        <v>15</v>
      </c>
      <c r="I960" s="3">
        <f>SUMIFS($S$2:$S$10,$R$2:$R$10,F960)</f>
        <v>15</v>
      </c>
      <c r="J960" s="3">
        <f>SUM(G960:I960)</f>
        <v>57</v>
      </c>
      <c r="K960" s="3">
        <f>SUMIFS($T$2:$T$10,$R$2:$R$10,E960)</f>
        <v>0.32</v>
      </c>
      <c r="L960" s="3">
        <f>SUMIFS($V$2:$V$10,$R$2:$R$10,F960)</f>
        <v>0.06</v>
      </c>
      <c r="M960" s="3">
        <f>SUMIFS($U$2:$U$10,$R$2:$R$10,D960)</f>
        <v>0.13</v>
      </c>
    </row>
    <row r="961" spans="1:13" x14ac:dyDescent="0.25">
      <c r="A961" s="3">
        <f>(A$2+A$2*M961+A$2*L961)*(1+K961)</f>
        <v>763.03520000000015</v>
      </c>
      <c r="B961" s="3">
        <f>(B$2+B$2*M961+B$2*L961)*(1+K961)</f>
        <v>887.51340000000016</v>
      </c>
      <c r="C961" s="3">
        <f>(C$2+C$2*M961+C$2*L961)*(1+K961)</f>
        <v>932.77820000000008</v>
      </c>
      <c r="D961" s="3">
        <v>8</v>
      </c>
      <c r="E961" s="3">
        <v>7</v>
      </c>
      <c r="F961" s="3">
        <v>5</v>
      </c>
      <c r="G961" s="3">
        <f>SUMIFS($S$2:$S$10,$R$2:$R$10,D961)</f>
        <v>27</v>
      </c>
      <c r="H961" s="3">
        <f>SUMIFS($S$2:$S$10,$R$2:$R$10,E961)</f>
        <v>20</v>
      </c>
      <c r="I961" s="3">
        <f>SUMIFS($S$2:$S$10,$R$2:$R$10,F961)</f>
        <v>10</v>
      </c>
      <c r="J961" s="3">
        <f>SUM(G961:I961)</f>
        <v>57</v>
      </c>
      <c r="K961" s="3">
        <f>SUMIFS($T$2:$T$10,$R$2:$R$10,E961)</f>
        <v>0.37</v>
      </c>
      <c r="L961" s="3">
        <f>SUMIFS($V$2:$V$10,$R$2:$R$10,F961)</f>
        <v>0.05</v>
      </c>
      <c r="M961" s="3">
        <f>SUMIFS($U$2:$U$10,$R$2:$R$10,D961)</f>
        <v>0.13</v>
      </c>
    </row>
    <row r="962" spans="1:13" x14ac:dyDescent="0.25">
      <c r="A962" s="2">
        <f>(A$2+A$2*K962+A$2*M962)*(1+L962)</f>
        <v>743.63600000000019</v>
      </c>
      <c r="B962" s="2">
        <f>(B$2+B$2*K962+B$2*M962)*(1+L962)</f>
        <v>864.94950000000006</v>
      </c>
      <c r="C962" s="2">
        <f>(C$2+C$2*K962+C$2*M962)*(1+L962)</f>
        <v>909.06349999999998</v>
      </c>
      <c r="D962" s="2">
        <v>8</v>
      </c>
      <c r="E962" s="2">
        <v>5</v>
      </c>
      <c r="F962" s="2">
        <v>7</v>
      </c>
      <c r="G962" s="2">
        <f>SUMIFS($S$2:$S$10,$R$2:$R$10,D962)</f>
        <v>27</v>
      </c>
      <c r="H962" s="2">
        <f>SUMIFS($S$2:$S$10,$R$2:$R$10,E962)</f>
        <v>10</v>
      </c>
      <c r="I962" s="2">
        <f>SUMIFS($S$2:$S$10,$R$2:$R$10,F962)</f>
        <v>20</v>
      </c>
      <c r="J962" s="2">
        <f>SUM(G962:I962)</f>
        <v>57</v>
      </c>
      <c r="K962" s="2">
        <f>SUMIFS($U$2:$U$10,$R$2:$R$10,E962)</f>
        <v>7.0000000000000007E-2</v>
      </c>
      <c r="L962" s="2">
        <f>SUMIFS($T$2:$T$10,$R$2:$R$10,F962)</f>
        <v>0.37</v>
      </c>
      <c r="M962" s="2">
        <f>SUMIFS($V$2:$V$10,$R$2:$R$10,D962)</f>
        <v>0.08</v>
      </c>
    </row>
    <row r="963" spans="1:13" x14ac:dyDescent="0.25">
      <c r="A963" s="2">
        <f>(A$2+A$2*K963+A$2*M963)*(1+L963)</f>
        <v>728.95680000000004</v>
      </c>
      <c r="B963" s="2">
        <f>(B$2+B$2*K963+B$2*M963)*(1+L963)</f>
        <v>847.87559999999996</v>
      </c>
      <c r="C963" s="2">
        <f>(C$2+C$2*K963+C$2*M963)*(1+L963)</f>
        <v>891.11879999999996</v>
      </c>
      <c r="D963" s="2">
        <v>8</v>
      </c>
      <c r="E963" s="2">
        <v>6</v>
      </c>
      <c r="F963" s="2">
        <v>6</v>
      </c>
      <c r="G963" s="2">
        <f>SUMIFS($S$2:$S$10,$R$2:$R$10,D963)</f>
        <v>27</v>
      </c>
      <c r="H963" s="2">
        <f>SUMIFS($S$2:$S$10,$R$2:$R$10,E963)</f>
        <v>15</v>
      </c>
      <c r="I963" s="2">
        <f>SUMIFS($S$2:$S$10,$R$2:$R$10,F963)</f>
        <v>15</v>
      </c>
      <c r="J963" s="2">
        <f>SUM(G963:I963)</f>
        <v>57</v>
      </c>
      <c r="K963" s="2">
        <f>SUMIFS($U$2:$U$10,$R$2:$R$10,E963)</f>
        <v>0.09</v>
      </c>
      <c r="L963" s="2">
        <f>SUMIFS($T$2:$T$10,$R$2:$R$10,F963)</f>
        <v>0.32</v>
      </c>
      <c r="M963" s="2">
        <f>SUMIFS($V$2:$V$10,$R$2:$R$10,D963)</f>
        <v>0.08</v>
      </c>
    </row>
    <row r="964" spans="1:13" x14ac:dyDescent="0.25">
      <c r="A964" s="2">
        <f>(A$2+A$2*K964+A$2*M964)*(1+L964)</f>
        <v>713.33359999999993</v>
      </c>
      <c r="B964" s="2">
        <f>(B$2+B$2*K964+B$2*M964)*(1+L964)</f>
        <v>829.70369999999991</v>
      </c>
      <c r="C964" s="2">
        <f>(C$2+C$2*K964+C$2*M964)*(1+L964)</f>
        <v>872.02009999999996</v>
      </c>
      <c r="D964" s="2">
        <v>8</v>
      </c>
      <c r="E964" s="2">
        <v>7</v>
      </c>
      <c r="F964" s="2">
        <v>5</v>
      </c>
      <c r="G964" s="2">
        <f>SUMIFS($S$2:$S$10,$R$2:$R$10,D964)</f>
        <v>27</v>
      </c>
      <c r="H964" s="2">
        <f>SUMIFS($S$2:$S$10,$R$2:$R$10,E964)</f>
        <v>20</v>
      </c>
      <c r="I964" s="2">
        <f>SUMIFS($S$2:$S$10,$R$2:$R$10,F964)</f>
        <v>10</v>
      </c>
      <c r="J964" s="2">
        <f>SUM(G964:I964)</f>
        <v>57</v>
      </c>
      <c r="K964" s="2">
        <f>SUMIFS($U$2:$U$10,$R$2:$R$10,E964)</f>
        <v>0.11</v>
      </c>
      <c r="L964" s="2">
        <f>SUMIFS($T$2:$T$10,$R$2:$R$10,F964)</f>
        <v>0.27</v>
      </c>
      <c r="M964" s="2">
        <f>SUMIFS($V$2:$V$10,$R$2:$R$10,D964)</f>
        <v>0.08</v>
      </c>
    </row>
    <row r="965" spans="1:13" x14ac:dyDescent="0.25">
      <c r="A965" s="1">
        <f>(A$2+A$2*K965+A$2*L965)*(1+M965)</f>
        <v>749.20560000000012</v>
      </c>
      <c r="B965" s="1">
        <f>(B$2+B$2*K965+B$2*L965)*(1+M965)</f>
        <v>871.42769999999996</v>
      </c>
      <c r="C965" s="1">
        <f>(C$2+C$2*K965+C$2*L965)*(1+M965)</f>
        <v>915.87209999999982</v>
      </c>
      <c r="D965" s="1">
        <v>8</v>
      </c>
      <c r="E965" s="1">
        <v>3</v>
      </c>
      <c r="F965" s="1">
        <v>8</v>
      </c>
      <c r="G965" s="1">
        <f>SUMIFS($S$2:$S$10,$R$2:$R$10,D965)</f>
        <v>27</v>
      </c>
      <c r="H965" s="1">
        <f>SUMIFS($S$2:$S$10,$R$2:$R$10,E965)</f>
        <v>4</v>
      </c>
      <c r="I965" s="1">
        <f>SUMIFS($S$2:$S$10,$R$2:$R$10,F965)</f>
        <v>27</v>
      </c>
      <c r="J965" s="1">
        <f>SUM(G965:I965)</f>
        <v>58</v>
      </c>
      <c r="K965" s="1">
        <f>SUMIFS($U$2:$U$10,$R$2:$R$10,E965)</f>
        <v>0.03</v>
      </c>
      <c r="L965" s="1">
        <f>SUMIFS($V$2:$V$10,$R$2:$R$10,F965)</f>
        <v>0.08</v>
      </c>
      <c r="M965" s="1">
        <f>SUMIFS($T$2:$T$10,$R$2:$R$10,D965)</f>
        <v>0.43</v>
      </c>
    </row>
    <row r="966" spans="1:13" x14ac:dyDescent="0.25">
      <c r="A966" s="1">
        <f>(A$2+A$2*K966+A$2*L966)*(1+M966)</f>
        <v>782.95359999999994</v>
      </c>
      <c r="B966" s="1">
        <f>(B$2+B$2*K966+B$2*L966)*(1+M966)</f>
        <v>910.68119999999999</v>
      </c>
      <c r="C966" s="1">
        <f>(C$2+C$2*K966+C$2*L966)*(1+M966)</f>
        <v>957.12759999999992</v>
      </c>
      <c r="D966" s="1">
        <v>8</v>
      </c>
      <c r="E966" s="1">
        <v>8</v>
      </c>
      <c r="F966" s="1">
        <v>3</v>
      </c>
      <c r="G966" s="1">
        <f>SUMIFS($S$2:$S$10,$R$2:$R$10,D966)</f>
        <v>27</v>
      </c>
      <c r="H966" s="1">
        <f>SUMIFS($S$2:$S$10,$R$2:$R$10,E966)</f>
        <v>27</v>
      </c>
      <c r="I966" s="1">
        <f>SUMIFS($S$2:$S$10,$R$2:$R$10,F966)</f>
        <v>4</v>
      </c>
      <c r="J966" s="1">
        <f>SUM(G966:I966)</f>
        <v>58</v>
      </c>
      <c r="K966" s="1">
        <f>SUMIFS($U$2:$U$10,$R$2:$R$10,E966)</f>
        <v>0.13</v>
      </c>
      <c r="L966" s="1">
        <f>SUMIFS($V$2:$V$10,$R$2:$R$10,F966)</f>
        <v>0.03</v>
      </c>
      <c r="M966" s="1">
        <f>SUMIFS($T$2:$T$10,$R$2:$R$10,D966)</f>
        <v>0.43</v>
      </c>
    </row>
    <row r="967" spans="1:13" x14ac:dyDescent="0.25">
      <c r="A967" s="1">
        <f>(A$2+A$2*K967+A$2*L967)*(1+M967)</f>
        <v>773.60800000000006</v>
      </c>
      <c r="B967" s="1">
        <f>(B$2+B$2*K967+B$2*L967)*(1+M967)</f>
        <v>899.81100000000015</v>
      </c>
      <c r="C967" s="1">
        <f>(C$2+C$2*K967+C$2*L967)*(1+M967)</f>
        <v>945.70299999999986</v>
      </c>
      <c r="D967" s="1">
        <v>9</v>
      </c>
      <c r="E967" s="1">
        <v>3</v>
      </c>
      <c r="F967" s="1">
        <v>7</v>
      </c>
      <c r="G967" s="1">
        <f>SUMIFS($S$2:$S$10,$R$2:$R$10,D967)</f>
        <v>34</v>
      </c>
      <c r="H967" s="1">
        <f>SUMIFS($S$2:$S$10,$R$2:$R$10,E967)</f>
        <v>4</v>
      </c>
      <c r="I967" s="1">
        <f>SUMIFS($S$2:$S$10,$R$2:$R$10,F967)</f>
        <v>20</v>
      </c>
      <c r="J967" s="1">
        <f>SUM(G967:I967)</f>
        <v>58</v>
      </c>
      <c r="K967" s="1">
        <f>SUMIFS($U$2:$U$10,$R$2:$R$10,E967)</f>
        <v>0.03</v>
      </c>
      <c r="L967" s="1">
        <f>SUMIFS($V$2:$V$10,$R$2:$R$10,F967)</f>
        <v>7.0000000000000007E-2</v>
      </c>
      <c r="M967" s="1">
        <f>SUMIFS($T$2:$T$10,$R$2:$R$10,D967)</f>
        <v>0.49</v>
      </c>
    </row>
    <row r="968" spans="1:13" x14ac:dyDescent="0.25">
      <c r="A968" s="1">
        <f>(A$2+A$2*K968+A$2*L968)*(1+M968)</f>
        <v>801.73919999999987</v>
      </c>
      <c r="B968" s="1">
        <f>(B$2+B$2*K968+B$2*L968)*(1+M968)</f>
        <v>932.53139999999996</v>
      </c>
      <c r="C968" s="1">
        <f>(C$2+C$2*K968+C$2*L968)*(1+M968)</f>
        <v>980.09219999999993</v>
      </c>
      <c r="D968" s="1">
        <v>9</v>
      </c>
      <c r="E968" s="1">
        <v>7</v>
      </c>
      <c r="F968" s="1">
        <v>3</v>
      </c>
      <c r="G968" s="1">
        <f>SUMIFS($S$2:$S$10,$R$2:$R$10,D968)</f>
        <v>34</v>
      </c>
      <c r="H968" s="1">
        <f>SUMIFS($S$2:$S$10,$R$2:$R$10,E968)</f>
        <v>20</v>
      </c>
      <c r="I968" s="1">
        <f>SUMIFS($S$2:$S$10,$R$2:$R$10,F968)</f>
        <v>4</v>
      </c>
      <c r="J968" s="1">
        <f>SUM(G968:I968)</f>
        <v>58</v>
      </c>
      <c r="K968" s="1">
        <f>SUMIFS($U$2:$U$10,$R$2:$R$10,E968)</f>
        <v>0.11</v>
      </c>
      <c r="L968" s="1">
        <f>SUMIFS($V$2:$V$10,$R$2:$R$10,F968)</f>
        <v>0.03</v>
      </c>
      <c r="M968" s="1">
        <f>SUMIFS($T$2:$T$10,$R$2:$R$10,D968)</f>
        <v>0.49</v>
      </c>
    </row>
    <row r="969" spans="1:13" x14ac:dyDescent="0.25">
      <c r="A969" s="3">
        <f>(A$2+A$2*M969+A$2*L969)*(1+K969)</f>
        <v>679.63279999999997</v>
      </c>
      <c r="B969" s="3">
        <f>(B$2+B$2*M969+B$2*L969)*(1+K969)</f>
        <v>790.50509999999997</v>
      </c>
      <c r="C969" s="3">
        <f>(C$2+C$2*M969+C$2*L969)*(1+K969)</f>
        <v>830.82229999999993</v>
      </c>
      <c r="D969" s="3">
        <v>8</v>
      </c>
      <c r="E969" s="3">
        <v>3</v>
      </c>
      <c r="F969" s="3">
        <v>8</v>
      </c>
      <c r="G969" s="3">
        <f>SUMIFS($S$2:$S$10,$R$2:$R$10,D969)</f>
        <v>27</v>
      </c>
      <c r="H969" s="3">
        <f>SUMIFS($S$2:$S$10,$R$2:$R$10,E969)</f>
        <v>4</v>
      </c>
      <c r="I969" s="3">
        <f>SUMIFS($S$2:$S$10,$R$2:$R$10,F969)</f>
        <v>27</v>
      </c>
      <c r="J969" s="3">
        <f>SUM(G969:I969)</f>
        <v>58</v>
      </c>
      <c r="K969" s="3">
        <f>SUMIFS($T$2:$T$10,$R$2:$R$10,E969)</f>
        <v>0.19</v>
      </c>
      <c r="L969" s="3">
        <f>SUMIFS($V$2:$V$10,$R$2:$R$10,F969)</f>
        <v>0.08</v>
      </c>
      <c r="M969" s="3">
        <f>SUMIFS($U$2:$U$10,$R$2:$R$10,D969)</f>
        <v>0.13</v>
      </c>
    </row>
    <row r="970" spans="1:13" x14ac:dyDescent="0.25">
      <c r="A970" s="3">
        <f>(A$2+A$2*M970+A$2*L970)*(1+K970)</f>
        <v>782.95359999999994</v>
      </c>
      <c r="B970" s="3">
        <f>(B$2+B$2*M970+B$2*L970)*(1+K970)</f>
        <v>910.68119999999999</v>
      </c>
      <c r="C970" s="3">
        <f>(C$2+C$2*M970+C$2*L970)*(1+K970)</f>
        <v>957.12759999999992</v>
      </c>
      <c r="D970" s="3">
        <v>8</v>
      </c>
      <c r="E970" s="3">
        <v>8</v>
      </c>
      <c r="F970" s="3">
        <v>3</v>
      </c>
      <c r="G970" s="3">
        <f>SUMIFS($S$2:$S$10,$R$2:$R$10,D970)</f>
        <v>27</v>
      </c>
      <c r="H970" s="3">
        <f>SUMIFS($S$2:$S$10,$R$2:$R$10,E970)</f>
        <v>27</v>
      </c>
      <c r="I970" s="3">
        <f>SUMIFS($S$2:$S$10,$R$2:$R$10,F970)</f>
        <v>4</v>
      </c>
      <c r="J970" s="3">
        <f>SUM(G970:I970)</f>
        <v>58</v>
      </c>
      <c r="K970" s="3">
        <f>SUMIFS($T$2:$T$10,$R$2:$R$10,E970)</f>
        <v>0.43</v>
      </c>
      <c r="L970" s="3">
        <f>SUMIFS($V$2:$V$10,$R$2:$R$10,F970)</f>
        <v>0.03</v>
      </c>
      <c r="M970" s="3">
        <f>SUMIFS($U$2:$U$10,$R$2:$R$10,D970)</f>
        <v>0.13</v>
      </c>
    </row>
    <row r="971" spans="1:13" x14ac:dyDescent="0.25">
      <c r="A971" s="3">
        <f>(A$2+A$2*M971+A$2*L971)*(1+K971)</f>
        <v>685.24959999999987</v>
      </c>
      <c r="B971" s="3">
        <f>(B$2+B$2*M971+B$2*L971)*(1+K971)</f>
        <v>797.03819999999996</v>
      </c>
      <c r="C971" s="3">
        <f>(C$2+C$2*M971+C$2*L971)*(1+K971)</f>
        <v>837.68859999999984</v>
      </c>
      <c r="D971" s="3">
        <v>9</v>
      </c>
      <c r="E971" s="3">
        <v>3</v>
      </c>
      <c r="F971" s="3">
        <v>7</v>
      </c>
      <c r="G971" s="3">
        <f>SUMIFS($S$2:$S$10,$R$2:$R$10,D971)</f>
        <v>34</v>
      </c>
      <c r="H971" s="3">
        <f>SUMIFS($S$2:$S$10,$R$2:$R$10,E971)</f>
        <v>4</v>
      </c>
      <c r="I971" s="3">
        <f>SUMIFS($S$2:$S$10,$R$2:$R$10,F971)</f>
        <v>20</v>
      </c>
      <c r="J971" s="3">
        <f>SUM(G971:I971)</f>
        <v>58</v>
      </c>
      <c r="K971" s="3">
        <f>SUMIFS($T$2:$T$10,$R$2:$R$10,E971)</f>
        <v>0.19</v>
      </c>
      <c r="L971" s="3">
        <f>SUMIFS($V$2:$V$10,$R$2:$R$10,F971)</f>
        <v>7.0000000000000007E-2</v>
      </c>
      <c r="M971" s="3">
        <f>SUMIFS($U$2:$U$10,$R$2:$R$10,D971)</f>
        <v>0.15</v>
      </c>
    </row>
    <row r="972" spans="1:13" x14ac:dyDescent="0.25">
      <c r="A972" s="3">
        <f>(A$2+A$2*M972+A$2*L972)*(1+K972)</f>
        <v>763.03519999999992</v>
      </c>
      <c r="B972" s="3">
        <f>(B$2+B$2*M972+B$2*L972)*(1+K972)</f>
        <v>887.51340000000016</v>
      </c>
      <c r="C972" s="3">
        <f>(C$2+C$2*M972+C$2*L972)*(1+K972)</f>
        <v>932.77819999999997</v>
      </c>
      <c r="D972" s="3">
        <v>9</v>
      </c>
      <c r="E972" s="3">
        <v>7</v>
      </c>
      <c r="F972" s="3">
        <v>3</v>
      </c>
      <c r="G972" s="3">
        <f>SUMIFS($S$2:$S$10,$R$2:$R$10,D972)</f>
        <v>34</v>
      </c>
      <c r="H972" s="3">
        <f>SUMIFS($S$2:$S$10,$R$2:$R$10,E972)</f>
        <v>20</v>
      </c>
      <c r="I972" s="3">
        <f>SUMIFS($S$2:$S$10,$R$2:$R$10,F972)</f>
        <v>4</v>
      </c>
      <c r="J972" s="3">
        <f>SUM(G972:I972)</f>
        <v>58</v>
      </c>
      <c r="K972" s="3">
        <f>SUMIFS($T$2:$T$10,$R$2:$R$10,E972)</f>
        <v>0.37</v>
      </c>
      <c r="L972" s="3">
        <f>SUMIFS($V$2:$V$10,$R$2:$R$10,F972)</f>
        <v>0.03</v>
      </c>
      <c r="M972" s="3">
        <f>SUMIFS($U$2:$U$10,$R$2:$R$10,D972)</f>
        <v>0.15</v>
      </c>
    </row>
    <row r="973" spans="1:13" x14ac:dyDescent="0.25">
      <c r="A973" s="2">
        <f>(A$2+A$2*K973+A$2*M973)*(1+L973)</f>
        <v>749.20560000000012</v>
      </c>
      <c r="B973" s="2">
        <f>(B$2+B$2*K973+B$2*M973)*(1+L973)</f>
        <v>871.42769999999996</v>
      </c>
      <c r="C973" s="2">
        <f>(C$2+C$2*K973+C$2*M973)*(1+L973)</f>
        <v>915.87209999999982</v>
      </c>
      <c r="D973" s="2">
        <v>8</v>
      </c>
      <c r="E973" s="2">
        <v>3</v>
      </c>
      <c r="F973" s="2">
        <v>8</v>
      </c>
      <c r="G973" s="2">
        <f>SUMIFS($S$2:$S$10,$R$2:$R$10,D973)</f>
        <v>27</v>
      </c>
      <c r="H973" s="2">
        <f>SUMIFS($S$2:$S$10,$R$2:$R$10,E973)</f>
        <v>4</v>
      </c>
      <c r="I973" s="2">
        <f>SUMIFS($S$2:$S$10,$R$2:$R$10,F973)</f>
        <v>27</v>
      </c>
      <c r="J973" s="2">
        <f>SUM(G973:I973)</f>
        <v>58</v>
      </c>
      <c r="K973" s="2">
        <f>SUMIFS($U$2:$U$10,$R$2:$R$10,E973)</f>
        <v>0.03</v>
      </c>
      <c r="L973" s="2">
        <f>SUMIFS($T$2:$T$10,$R$2:$R$10,F973)</f>
        <v>0.43</v>
      </c>
      <c r="M973" s="2">
        <f>SUMIFS($V$2:$V$10,$R$2:$R$10,D973)</f>
        <v>0.08</v>
      </c>
    </row>
    <row r="974" spans="1:13" x14ac:dyDescent="0.25">
      <c r="A974" s="2">
        <f>(A$2+A$2*K974+A$2*M974)*(1+L974)</f>
        <v>679.63279999999997</v>
      </c>
      <c r="B974" s="2">
        <f>(B$2+B$2*K974+B$2*M974)*(1+L974)</f>
        <v>790.50509999999997</v>
      </c>
      <c r="C974" s="2">
        <f>(C$2+C$2*K974+C$2*M974)*(1+L974)</f>
        <v>830.82229999999993</v>
      </c>
      <c r="D974" s="2">
        <v>8</v>
      </c>
      <c r="E974" s="2">
        <v>8</v>
      </c>
      <c r="F974" s="2">
        <v>3</v>
      </c>
      <c r="G974" s="2">
        <f>SUMIFS($S$2:$S$10,$R$2:$R$10,D974)</f>
        <v>27</v>
      </c>
      <c r="H974" s="2">
        <f>SUMIFS($S$2:$S$10,$R$2:$R$10,E974)</f>
        <v>27</v>
      </c>
      <c r="I974" s="2">
        <f>SUMIFS($S$2:$S$10,$R$2:$R$10,F974)</f>
        <v>4</v>
      </c>
      <c r="J974" s="2">
        <f>SUM(G974:I974)</f>
        <v>58</v>
      </c>
      <c r="K974" s="2">
        <f>SUMIFS($U$2:$U$10,$R$2:$R$10,E974)</f>
        <v>0.13</v>
      </c>
      <c r="L974" s="2">
        <f>SUMIFS($T$2:$T$10,$R$2:$R$10,F974)</f>
        <v>0.19</v>
      </c>
      <c r="M974" s="2">
        <f>SUMIFS($V$2:$V$10,$R$2:$R$10,D974)</f>
        <v>0.08</v>
      </c>
    </row>
    <row r="975" spans="1:13" x14ac:dyDescent="0.25">
      <c r="A975" s="2">
        <f>(A$2+A$2*K975+A$2*M975)*(1+L975)</f>
        <v>724.23680000000002</v>
      </c>
      <c r="B975" s="2">
        <f>(B$2+B$2*K975+B$2*M975)*(1+L975)</f>
        <v>842.38560000000007</v>
      </c>
      <c r="C975" s="2">
        <f>(C$2+C$2*K975+C$2*M975)*(1+L975)</f>
        <v>885.34879999999987</v>
      </c>
      <c r="D975" s="2">
        <v>9</v>
      </c>
      <c r="E975" s="2">
        <v>3</v>
      </c>
      <c r="F975" s="2">
        <v>7</v>
      </c>
      <c r="G975" s="2">
        <f>SUMIFS($S$2:$S$10,$R$2:$R$10,D975)</f>
        <v>34</v>
      </c>
      <c r="H975" s="2">
        <f>SUMIFS($S$2:$S$10,$R$2:$R$10,E975)</f>
        <v>4</v>
      </c>
      <c r="I975" s="2">
        <f>SUMIFS($S$2:$S$10,$R$2:$R$10,F975)</f>
        <v>20</v>
      </c>
      <c r="J975" s="2">
        <f>SUM(G975:I975)</f>
        <v>58</v>
      </c>
      <c r="K975" s="2">
        <f>SUMIFS($U$2:$U$10,$R$2:$R$10,E975)</f>
        <v>0.03</v>
      </c>
      <c r="L975" s="2">
        <f>SUMIFS($T$2:$T$10,$R$2:$R$10,F975)</f>
        <v>0.37</v>
      </c>
      <c r="M975" s="2">
        <f>SUMIFS($V$2:$V$10,$R$2:$R$10,D975)</f>
        <v>0.09</v>
      </c>
    </row>
    <row r="976" spans="1:13" x14ac:dyDescent="0.25">
      <c r="A976" s="2">
        <f>(A$2+A$2*K976+A$2*M976)*(1+L976)</f>
        <v>674.01599999999996</v>
      </c>
      <c r="B976" s="2">
        <f>(B$2+B$2*K976+B$2*M976)*(1+L976)</f>
        <v>783.97199999999987</v>
      </c>
      <c r="C976" s="2">
        <f>(C$2+C$2*K976+C$2*M976)*(1+L976)</f>
        <v>823.9559999999999</v>
      </c>
      <c r="D976" s="2">
        <v>9</v>
      </c>
      <c r="E976" s="2">
        <v>7</v>
      </c>
      <c r="F976" s="2">
        <v>3</v>
      </c>
      <c r="G976" s="2">
        <f>SUMIFS($S$2:$S$10,$R$2:$R$10,D976)</f>
        <v>34</v>
      </c>
      <c r="H976" s="2">
        <f>SUMIFS($S$2:$S$10,$R$2:$R$10,E976)</f>
        <v>20</v>
      </c>
      <c r="I976" s="2">
        <f>SUMIFS($S$2:$S$10,$R$2:$R$10,F976)</f>
        <v>4</v>
      </c>
      <c r="J976" s="2">
        <f>SUM(G976:I976)</f>
        <v>58</v>
      </c>
      <c r="K976" s="2">
        <f>SUMIFS($U$2:$U$10,$R$2:$R$10,E976)</f>
        <v>0.11</v>
      </c>
      <c r="L976" s="2">
        <f>SUMIFS($T$2:$T$10,$R$2:$R$10,F976)</f>
        <v>0.19</v>
      </c>
      <c r="M976" s="2">
        <f>SUMIFS($V$2:$V$10,$R$2:$R$10,D976)</f>
        <v>0.09</v>
      </c>
    </row>
    <row r="977" spans="1:13" x14ac:dyDescent="0.25">
      <c r="A977" s="1">
        <f>(A$2+A$2*K977+A$2*L977)*(1+M977)</f>
        <v>794.70640000000003</v>
      </c>
      <c r="B977" s="1">
        <f>(B$2+B$2*K977+B$2*L977)*(1+M977)</f>
        <v>924.35130000000015</v>
      </c>
      <c r="C977" s="1">
        <f>(C$2+C$2*K977+C$2*L977)*(1+M977)</f>
        <v>971.49490000000003</v>
      </c>
      <c r="D977" s="1">
        <v>9</v>
      </c>
      <c r="E977" s="1">
        <v>5</v>
      </c>
      <c r="F977" s="1">
        <v>6</v>
      </c>
      <c r="G977" s="1">
        <f>SUMIFS($S$2:$S$10,$R$2:$R$10,D977)</f>
        <v>34</v>
      </c>
      <c r="H977" s="1">
        <f>SUMIFS($S$2:$S$10,$R$2:$R$10,E977)</f>
        <v>10</v>
      </c>
      <c r="I977" s="1">
        <f>SUMIFS($S$2:$S$10,$R$2:$R$10,F977)</f>
        <v>15</v>
      </c>
      <c r="J977" s="1">
        <f>SUM(G977:I977)</f>
        <v>59</v>
      </c>
      <c r="K977" s="1">
        <f>SUMIFS($U$2:$U$10,$R$2:$R$10,E977)</f>
        <v>7.0000000000000007E-2</v>
      </c>
      <c r="L977" s="1">
        <f>SUMIFS($V$2:$V$10,$R$2:$R$10,F977)</f>
        <v>0.06</v>
      </c>
      <c r="M977" s="1">
        <f>SUMIFS($T$2:$T$10,$R$2:$R$10,D977)</f>
        <v>0.49</v>
      </c>
    </row>
    <row r="978" spans="1:13" x14ac:dyDescent="0.25">
      <c r="A978" s="1">
        <f>(A$2+A$2*K978+A$2*L978)*(1+M978)</f>
        <v>801.7392000000001</v>
      </c>
      <c r="B978" s="1">
        <f>(B$2+B$2*K978+B$2*L978)*(1+M978)</f>
        <v>932.53139999999996</v>
      </c>
      <c r="C978" s="1">
        <f>(C$2+C$2*K978+C$2*L978)*(1+M978)</f>
        <v>980.09219999999993</v>
      </c>
      <c r="D978" s="1">
        <v>9</v>
      </c>
      <c r="E978" s="1">
        <v>6</v>
      </c>
      <c r="F978" s="1">
        <v>5</v>
      </c>
      <c r="G978" s="1">
        <f>SUMIFS($S$2:$S$10,$R$2:$R$10,D978)</f>
        <v>34</v>
      </c>
      <c r="H978" s="1">
        <f>SUMIFS($S$2:$S$10,$R$2:$R$10,E978)</f>
        <v>15</v>
      </c>
      <c r="I978" s="1">
        <f>SUMIFS($S$2:$S$10,$R$2:$R$10,F978)</f>
        <v>10</v>
      </c>
      <c r="J978" s="1">
        <f>SUM(G978:I978)</f>
        <v>59</v>
      </c>
      <c r="K978" s="1">
        <f>SUMIFS($U$2:$U$10,$R$2:$R$10,E978)</f>
        <v>0.09</v>
      </c>
      <c r="L978" s="1">
        <f>SUMIFS($V$2:$V$10,$R$2:$R$10,F978)</f>
        <v>0.05</v>
      </c>
      <c r="M978" s="1">
        <f>SUMIFS($T$2:$T$10,$R$2:$R$10,D978)</f>
        <v>0.49</v>
      </c>
    </row>
    <row r="979" spans="1:13" x14ac:dyDescent="0.25">
      <c r="A979" s="3">
        <f>(A$2+A$2*M979+A$2*L979)*(1+K979)</f>
        <v>725.32240000000002</v>
      </c>
      <c r="B979" s="3">
        <f>(B$2+B$2*M979+B$2*L979)*(1+K979)</f>
        <v>843.64829999999995</v>
      </c>
      <c r="C979" s="3">
        <f>(C$2+C$2*M979+C$2*L979)*(1+K979)</f>
        <v>886.67589999999996</v>
      </c>
      <c r="D979" s="3">
        <v>9</v>
      </c>
      <c r="E979" s="3">
        <v>5</v>
      </c>
      <c r="F979" s="3">
        <v>6</v>
      </c>
      <c r="G979" s="3">
        <f>SUMIFS($S$2:$S$10,$R$2:$R$10,D979)</f>
        <v>34</v>
      </c>
      <c r="H979" s="3">
        <f>SUMIFS($S$2:$S$10,$R$2:$R$10,E979)</f>
        <v>10</v>
      </c>
      <c r="I979" s="3">
        <f>SUMIFS($S$2:$S$10,$R$2:$R$10,F979)</f>
        <v>15</v>
      </c>
      <c r="J979" s="3">
        <f>SUM(G979:I979)</f>
        <v>59</v>
      </c>
      <c r="K979" s="3">
        <f>SUMIFS($T$2:$T$10,$R$2:$R$10,E979)</f>
        <v>0.27</v>
      </c>
      <c r="L979" s="3">
        <f>SUMIFS($V$2:$V$10,$R$2:$R$10,F979)</f>
        <v>0.06</v>
      </c>
      <c r="M979" s="3">
        <f>SUMIFS($U$2:$U$10,$R$2:$R$10,D979)</f>
        <v>0.15</v>
      </c>
    </row>
    <row r="980" spans="1:13" x14ac:dyDescent="0.25">
      <c r="A980" s="3">
        <f>(A$2+A$2*M980+A$2*L980)*(1+K980)</f>
        <v>747.64800000000002</v>
      </c>
      <c r="B980" s="3">
        <f>(B$2+B$2*M980+B$2*L980)*(1+K980)</f>
        <v>869.6160000000001</v>
      </c>
      <c r="C980" s="3">
        <f>(C$2+C$2*M980+C$2*L980)*(1+K980)</f>
        <v>913.96799999999996</v>
      </c>
      <c r="D980" s="3">
        <v>9</v>
      </c>
      <c r="E980" s="3">
        <v>6</v>
      </c>
      <c r="F980" s="3">
        <v>5</v>
      </c>
      <c r="G980" s="3">
        <f>SUMIFS($S$2:$S$10,$R$2:$R$10,D980)</f>
        <v>34</v>
      </c>
      <c r="H980" s="3">
        <f>SUMIFS($S$2:$S$10,$R$2:$R$10,E980)</f>
        <v>15</v>
      </c>
      <c r="I980" s="3">
        <f>SUMIFS($S$2:$S$10,$R$2:$R$10,F980)</f>
        <v>10</v>
      </c>
      <c r="J980" s="3">
        <f>SUM(G980:I980)</f>
        <v>59</v>
      </c>
      <c r="K980" s="3">
        <f>SUMIFS($T$2:$T$10,$R$2:$R$10,E980)</f>
        <v>0.32</v>
      </c>
      <c r="L980" s="3">
        <f>SUMIFS($V$2:$V$10,$R$2:$R$10,F980)</f>
        <v>0.05</v>
      </c>
      <c r="M980" s="3">
        <f>SUMIFS($U$2:$U$10,$R$2:$R$10,D980)</f>
        <v>0.15</v>
      </c>
    </row>
    <row r="981" spans="1:13" x14ac:dyDescent="0.25">
      <c r="A981" s="2">
        <f>(A$2+A$2*K981+A$2*M981)*(1+L981)</f>
        <v>722.72640000000001</v>
      </c>
      <c r="B981" s="2">
        <f>(B$2+B$2*K981+B$2*M981)*(1+L981)</f>
        <v>840.62880000000007</v>
      </c>
      <c r="C981" s="2">
        <f>(C$2+C$2*K981+C$2*M981)*(1+L981)</f>
        <v>883.50239999999997</v>
      </c>
      <c r="D981" s="2">
        <v>9</v>
      </c>
      <c r="E981" s="2">
        <v>5</v>
      </c>
      <c r="F981" s="2">
        <v>6</v>
      </c>
      <c r="G981" s="2">
        <f>SUMIFS($S$2:$S$10,$R$2:$R$10,D981)</f>
        <v>34</v>
      </c>
      <c r="H981" s="2">
        <f>SUMIFS($S$2:$S$10,$R$2:$R$10,E981)</f>
        <v>10</v>
      </c>
      <c r="I981" s="2">
        <f>SUMIFS($S$2:$S$10,$R$2:$R$10,F981)</f>
        <v>15</v>
      </c>
      <c r="J981" s="2">
        <f>SUM(G981:I981)</f>
        <v>59</v>
      </c>
      <c r="K981" s="2">
        <f>SUMIFS($U$2:$U$10,$R$2:$R$10,E981)</f>
        <v>7.0000000000000007E-2</v>
      </c>
      <c r="L981" s="2">
        <f>SUMIFS($T$2:$T$10,$R$2:$R$10,F981)</f>
        <v>0.32</v>
      </c>
      <c r="M981" s="2">
        <f>SUMIFS($V$2:$V$10,$R$2:$R$10,D981)</f>
        <v>0.09</v>
      </c>
    </row>
    <row r="982" spans="1:13" x14ac:dyDescent="0.25">
      <c r="A982" s="2">
        <f>(A$2+A$2*K982+A$2*M982)*(1+L982)</f>
        <v>707.33920000000001</v>
      </c>
      <c r="B982" s="2">
        <f>(B$2+B$2*K982+B$2*M982)*(1+L982)</f>
        <v>822.73139999999989</v>
      </c>
      <c r="C982" s="2">
        <f>(C$2+C$2*K982+C$2*M982)*(1+L982)</f>
        <v>864.69219999999984</v>
      </c>
      <c r="D982" s="2">
        <v>9</v>
      </c>
      <c r="E982" s="2">
        <v>6</v>
      </c>
      <c r="F982" s="2">
        <v>5</v>
      </c>
      <c r="G982" s="2">
        <f>SUMIFS($S$2:$S$10,$R$2:$R$10,D982)</f>
        <v>34</v>
      </c>
      <c r="H982" s="2">
        <f>SUMIFS($S$2:$S$10,$R$2:$R$10,E982)</f>
        <v>15</v>
      </c>
      <c r="I982" s="2">
        <f>SUMIFS($S$2:$S$10,$R$2:$R$10,F982)</f>
        <v>10</v>
      </c>
      <c r="J982" s="2">
        <f>SUM(G982:I982)</f>
        <v>59</v>
      </c>
      <c r="K982" s="2">
        <f>SUMIFS($U$2:$U$10,$R$2:$R$10,E982)</f>
        <v>0.09</v>
      </c>
      <c r="L982" s="2">
        <f>SUMIFS($T$2:$T$10,$R$2:$R$10,F982)</f>
        <v>0.27</v>
      </c>
      <c r="M982" s="2">
        <f>SUMIFS($V$2:$V$10,$R$2:$R$10,D982)</f>
        <v>0.09</v>
      </c>
    </row>
    <row r="983" spans="1:13" x14ac:dyDescent="0.25">
      <c r="A983" s="1">
        <f>(A$2+A$2*K983+A$2*L983)*(1+M983)</f>
        <v>763.03519999999992</v>
      </c>
      <c r="B983" s="1">
        <f>(B$2+B$2*K983+B$2*L983)*(1+M983)</f>
        <v>887.51339999999993</v>
      </c>
      <c r="C983" s="1">
        <f>(C$2+C$2*K983+C$2*L983)*(1+M983)</f>
        <v>932.77820000000008</v>
      </c>
      <c r="D983" s="1">
        <v>7</v>
      </c>
      <c r="E983" s="1">
        <v>7</v>
      </c>
      <c r="F983" s="1">
        <v>7</v>
      </c>
      <c r="G983" s="1">
        <f>SUMIFS($S$2:$S$10,$R$2:$R$10,D983)</f>
        <v>20</v>
      </c>
      <c r="H983" s="1">
        <f>SUMIFS($S$2:$S$10,$R$2:$R$10,E983)</f>
        <v>20</v>
      </c>
      <c r="I983" s="1">
        <f>SUMIFS($S$2:$S$10,$R$2:$R$10,F983)</f>
        <v>20</v>
      </c>
      <c r="J983" s="1">
        <f>SUM(G983:I983)</f>
        <v>60</v>
      </c>
      <c r="K983" s="1">
        <f>SUMIFS($U$2:$U$10,$R$2:$R$10,E983)</f>
        <v>0.11</v>
      </c>
      <c r="L983" s="1">
        <f>SUMIFS($V$2:$V$10,$R$2:$R$10,F983)</f>
        <v>7.0000000000000007E-2</v>
      </c>
      <c r="M983" s="1">
        <f>SUMIFS($T$2:$T$10,$R$2:$R$10,D983)</f>
        <v>0.37</v>
      </c>
    </row>
    <row r="984" spans="1:13" x14ac:dyDescent="0.25">
      <c r="A984" s="3">
        <f>(A$2+A$2*M984+A$2*L984)*(1+K984)</f>
        <v>763.03519999999992</v>
      </c>
      <c r="B984" s="3">
        <f>(B$2+B$2*M984+B$2*L984)*(1+K984)</f>
        <v>887.51339999999993</v>
      </c>
      <c r="C984" s="3">
        <f>(C$2+C$2*M984+C$2*L984)*(1+K984)</f>
        <v>932.77820000000008</v>
      </c>
      <c r="D984" s="3">
        <v>7</v>
      </c>
      <c r="E984" s="3">
        <v>7</v>
      </c>
      <c r="F984" s="3">
        <v>7</v>
      </c>
      <c r="G984" s="3">
        <f>SUMIFS($S$2:$S$10,$R$2:$R$10,D984)</f>
        <v>20</v>
      </c>
      <c r="H984" s="3">
        <f>SUMIFS($S$2:$S$10,$R$2:$R$10,E984)</f>
        <v>20</v>
      </c>
      <c r="I984" s="3">
        <f>SUMIFS($S$2:$S$10,$R$2:$R$10,F984)</f>
        <v>20</v>
      </c>
      <c r="J984" s="3">
        <f>SUM(G984:I984)</f>
        <v>60</v>
      </c>
      <c r="K984" s="3">
        <f>SUMIFS($T$2:$T$10,$R$2:$R$10,E984)</f>
        <v>0.37</v>
      </c>
      <c r="L984" s="3">
        <f>SUMIFS($V$2:$V$10,$R$2:$R$10,F984)</f>
        <v>7.0000000000000007E-2</v>
      </c>
      <c r="M984" s="3">
        <f>SUMIFS($U$2:$U$10,$R$2:$R$10,D984)</f>
        <v>0.11</v>
      </c>
    </row>
    <row r="985" spans="1:13" x14ac:dyDescent="0.25">
      <c r="A985" s="2">
        <f>(A$2+A$2*K985+A$2*M985)*(1+L985)</f>
        <v>763.03519999999992</v>
      </c>
      <c r="B985" s="2">
        <f>(B$2+B$2*K985+B$2*M985)*(1+L985)</f>
        <v>887.51339999999993</v>
      </c>
      <c r="C985" s="2">
        <f>(C$2+C$2*K985+C$2*M985)*(1+L985)</f>
        <v>932.77820000000008</v>
      </c>
      <c r="D985" s="2">
        <v>7</v>
      </c>
      <c r="E985" s="2">
        <v>7</v>
      </c>
      <c r="F985" s="2">
        <v>7</v>
      </c>
      <c r="G985" s="2">
        <f>SUMIFS($S$2:$S$10,$R$2:$R$10,D985)</f>
        <v>20</v>
      </c>
      <c r="H985" s="2">
        <f>SUMIFS($S$2:$S$10,$R$2:$R$10,E985)</f>
        <v>20</v>
      </c>
      <c r="I985" s="2">
        <f>SUMIFS($S$2:$S$10,$R$2:$R$10,F985)</f>
        <v>20</v>
      </c>
      <c r="J985" s="2">
        <f>SUM(G985:I985)</f>
        <v>60</v>
      </c>
      <c r="K985" s="2">
        <f>SUMIFS($U$2:$U$10,$R$2:$R$10,E985)</f>
        <v>0.11</v>
      </c>
      <c r="L985" s="2">
        <f>SUMIFS($T$2:$T$10,$R$2:$R$10,F985)</f>
        <v>0.37</v>
      </c>
      <c r="M985" s="2">
        <f>SUMIFS($V$2:$V$10,$R$2:$R$10,D985)</f>
        <v>7.0000000000000007E-2</v>
      </c>
    </row>
    <row r="986" spans="1:13" x14ac:dyDescent="0.25">
      <c r="A986" s="1">
        <f>(A$2+A$2*K986+A$2*L986)*(1+M986)</f>
        <v>762.70479999999998</v>
      </c>
      <c r="B986" s="1">
        <f>(B$2+B$2*K986+B$2*L986)*(1+M986)</f>
        <v>887.12909999999999</v>
      </c>
      <c r="C986" s="1">
        <f>(C$2+C$2*K986+C$2*L986)*(1+M986)</f>
        <v>932.37429999999995</v>
      </c>
      <c r="D986" s="1">
        <v>8</v>
      </c>
      <c r="E986" s="1">
        <v>4</v>
      </c>
      <c r="F986" s="1">
        <v>8</v>
      </c>
      <c r="G986" s="1">
        <f>SUMIFS($S$2:$S$10,$R$2:$R$10,D986)</f>
        <v>27</v>
      </c>
      <c r="H986" s="1">
        <f>SUMIFS($S$2:$S$10,$R$2:$R$10,E986)</f>
        <v>7</v>
      </c>
      <c r="I986" s="1">
        <f>SUMIFS($S$2:$S$10,$R$2:$R$10,F986)</f>
        <v>27</v>
      </c>
      <c r="J986" s="1">
        <f>SUM(G986:I986)</f>
        <v>61</v>
      </c>
      <c r="K986" s="1">
        <f>SUMIFS($U$2:$U$10,$R$2:$R$10,E986)</f>
        <v>0.05</v>
      </c>
      <c r="L986" s="1">
        <f>SUMIFS($V$2:$V$10,$R$2:$R$10,F986)</f>
        <v>0.08</v>
      </c>
      <c r="M986" s="1">
        <f>SUMIFS($T$2:$T$10,$R$2:$R$10,D986)</f>
        <v>0.43</v>
      </c>
    </row>
    <row r="987" spans="1:13" x14ac:dyDescent="0.25">
      <c r="A987" s="1">
        <f>(A$2+A$2*K987+A$2*L987)*(1+M987)</f>
        <v>789.70319999999992</v>
      </c>
      <c r="B987" s="1">
        <f>(B$2+B$2*K987+B$2*L987)*(1+M987)</f>
        <v>918.53190000000006</v>
      </c>
      <c r="C987" s="1">
        <f>(C$2+C$2*K987+C$2*L987)*(1+M987)</f>
        <v>965.37869999999998</v>
      </c>
      <c r="D987" s="1">
        <v>8</v>
      </c>
      <c r="E987" s="1">
        <v>8</v>
      </c>
      <c r="F987" s="1">
        <v>4</v>
      </c>
      <c r="G987" s="1">
        <f>SUMIFS($S$2:$S$10,$R$2:$R$10,D987)</f>
        <v>27</v>
      </c>
      <c r="H987" s="1">
        <f>SUMIFS($S$2:$S$10,$R$2:$R$10,E987)</f>
        <v>27</v>
      </c>
      <c r="I987" s="1">
        <f>SUMIFS($S$2:$S$10,$R$2:$R$10,F987)</f>
        <v>7</v>
      </c>
      <c r="J987" s="1">
        <f>SUM(G987:I987)</f>
        <v>61</v>
      </c>
      <c r="K987" s="1">
        <f>SUMIFS($U$2:$U$10,$R$2:$R$10,E987)</f>
        <v>0.13</v>
      </c>
      <c r="L987" s="1">
        <f>SUMIFS($V$2:$V$10,$R$2:$R$10,F987)</f>
        <v>0.04</v>
      </c>
      <c r="M987" s="1">
        <f>SUMIFS($T$2:$T$10,$R$2:$R$10,D987)</f>
        <v>0.43</v>
      </c>
    </row>
    <row r="988" spans="1:13" x14ac:dyDescent="0.25">
      <c r="A988" s="1">
        <f>(A$2+A$2*K988+A$2*L988)*(1+M988)</f>
        <v>759.54239999999993</v>
      </c>
      <c r="B988" s="1">
        <f>(B$2+B$2*K988+B$2*L988)*(1+M988)</f>
        <v>883.45079999999996</v>
      </c>
      <c r="C988" s="1">
        <f>(C$2+C$2*K988+C$2*L988)*(1+M988)</f>
        <v>928.50839999999994</v>
      </c>
      <c r="D988" s="1">
        <v>9</v>
      </c>
      <c r="E988" s="1">
        <v>0</v>
      </c>
      <c r="F988" s="1">
        <v>8</v>
      </c>
      <c r="G988" s="1">
        <f>SUMIFS($S$2:$S$10,$R$2:$R$10,D988)</f>
        <v>34</v>
      </c>
      <c r="H988" s="1">
        <f>SUMIFS($S$2:$S$10,$R$2:$R$10,E988)</f>
        <v>0</v>
      </c>
      <c r="I988" s="1">
        <f>SUMIFS($S$2:$S$10,$R$2:$R$10,F988)</f>
        <v>27</v>
      </c>
      <c r="J988" s="1">
        <f>SUM(G988:I988)</f>
        <v>61</v>
      </c>
      <c r="K988" s="1">
        <f>SUMIFS($U$2:$U$10,$R$2:$R$10,E988)</f>
        <v>0</v>
      </c>
      <c r="L988" s="1">
        <f>SUMIFS($V$2:$V$10,$R$2:$R$10,F988)</f>
        <v>0.08</v>
      </c>
      <c r="M988" s="1">
        <f>SUMIFS($T$2:$T$10,$R$2:$R$10,D988)</f>
        <v>0.49</v>
      </c>
    </row>
    <row r="989" spans="1:13" x14ac:dyDescent="0.25">
      <c r="A989" s="1">
        <f>(A$2+A$2*K989+A$2*L989)*(1+M989)</f>
        <v>787.67359999999996</v>
      </c>
      <c r="B989" s="1">
        <f>(B$2+B$2*K989+B$2*L989)*(1+M989)</f>
        <v>916.17120000000011</v>
      </c>
      <c r="C989" s="1">
        <f>(C$2+C$2*K989+C$2*L989)*(1+M989)</f>
        <v>962.89760000000001</v>
      </c>
      <c r="D989" s="1">
        <v>9</v>
      </c>
      <c r="E989" s="1">
        <v>4</v>
      </c>
      <c r="F989" s="1">
        <v>7</v>
      </c>
      <c r="G989" s="1">
        <f>SUMIFS($S$2:$S$10,$R$2:$R$10,D989)</f>
        <v>34</v>
      </c>
      <c r="H989" s="1">
        <f>SUMIFS($S$2:$S$10,$R$2:$R$10,E989)</f>
        <v>7</v>
      </c>
      <c r="I989" s="1">
        <f>SUMIFS($S$2:$S$10,$R$2:$R$10,F989)</f>
        <v>20</v>
      </c>
      <c r="J989" s="1">
        <f>SUM(G989:I989)</f>
        <v>61</v>
      </c>
      <c r="K989" s="1">
        <f>SUMIFS($U$2:$U$10,$R$2:$R$10,E989)</f>
        <v>0.05</v>
      </c>
      <c r="L989" s="1">
        <f>SUMIFS($V$2:$V$10,$R$2:$R$10,F989)</f>
        <v>7.0000000000000007E-2</v>
      </c>
      <c r="M989" s="1">
        <f>SUMIFS($T$2:$T$10,$R$2:$R$10,D989)</f>
        <v>0.49</v>
      </c>
    </row>
    <row r="990" spans="1:13" x14ac:dyDescent="0.25">
      <c r="A990" s="1">
        <f>(A$2+A$2*K990+A$2*L990)*(1+M990)</f>
        <v>808.77199999999993</v>
      </c>
      <c r="B990" s="1">
        <f>(B$2+B$2*K990+B$2*L990)*(1+M990)</f>
        <v>940.7115</v>
      </c>
      <c r="C990" s="1">
        <f>(C$2+C$2*K990+C$2*L990)*(1+M990)</f>
        <v>988.68950000000007</v>
      </c>
      <c r="D990" s="1">
        <v>9</v>
      </c>
      <c r="E990" s="1">
        <v>7</v>
      </c>
      <c r="F990" s="1">
        <v>4</v>
      </c>
      <c r="G990" s="1">
        <f>SUMIFS($S$2:$S$10,$R$2:$R$10,D990)</f>
        <v>34</v>
      </c>
      <c r="H990" s="1">
        <f>SUMIFS($S$2:$S$10,$R$2:$R$10,E990)</f>
        <v>20</v>
      </c>
      <c r="I990" s="1">
        <f>SUMIFS($S$2:$S$10,$R$2:$R$10,F990)</f>
        <v>7</v>
      </c>
      <c r="J990" s="1">
        <f>SUM(G990:I990)</f>
        <v>61</v>
      </c>
      <c r="K990" s="1">
        <f>SUMIFS($U$2:$U$10,$R$2:$R$10,E990)</f>
        <v>0.11</v>
      </c>
      <c r="L990" s="1">
        <f>SUMIFS($V$2:$V$10,$R$2:$R$10,F990)</f>
        <v>0.04</v>
      </c>
      <c r="M990" s="1">
        <f>SUMIFS($T$2:$T$10,$R$2:$R$10,D990)</f>
        <v>0.49</v>
      </c>
    </row>
    <row r="991" spans="1:13" x14ac:dyDescent="0.25">
      <c r="A991" s="1">
        <f>(A$2+A$2*K991+A$2*L991)*(1+M991)</f>
        <v>794.70640000000003</v>
      </c>
      <c r="B991" s="1">
        <f>(B$2+B$2*K991+B$2*L991)*(1+M991)</f>
        <v>924.35130000000004</v>
      </c>
      <c r="C991" s="1">
        <f>(C$2+C$2*K991+C$2*L991)*(1+M991)</f>
        <v>971.49490000000003</v>
      </c>
      <c r="D991" s="1">
        <v>9</v>
      </c>
      <c r="E991" s="1">
        <v>8</v>
      </c>
      <c r="F991" s="1">
        <v>0</v>
      </c>
      <c r="G991" s="1">
        <f>SUMIFS($S$2:$S$10,$R$2:$R$10,D991)</f>
        <v>34</v>
      </c>
      <c r="H991" s="1">
        <f>SUMIFS($S$2:$S$10,$R$2:$R$10,E991)</f>
        <v>27</v>
      </c>
      <c r="I991" s="1">
        <f>SUMIFS($S$2:$S$10,$R$2:$R$10,F991)</f>
        <v>0</v>
      </c>
      <c r="J991" s="1">
        <f>SUM(G991:I991)</f>
        <v>61</v>
      </c>
      <c r="K991" s="1">
        <f>SUMIFS($U$2:$U$10,$R$2:$R$10,E991)</f>
        <v>0.13</v>
      </c>
      <c r="L991" s="1">
        <f>SUMIFS($V$2:$V$10,$R$2:$R$10,F991)</f>
        <v>0</v>
      </c>
      <c r="M991" s="1">
        <f>SUMIFS($T$2:$T$10,$R$2:$R$10,D991)</f>
        <v>0.49</v>
      </c>
    </row>
    <row r="992" spans="1:13" x14ac:dyDescent="0.25">
      <c r="A992" s="3">
        <f>(A$2+A$2*M992+A$2*L992)*(1+K992)</f>
        <v>696.76639999999998</v>
      </c>
      <c r="B992" s="3">
        <f>(B$2+B$2*M992+B$2*L992)*(1+K992)</f>
        <v>810.43379999999991</v>
      </c>
      <c r="C992" s="3">
        <f>(C$2+C$2*M992+C$2*L992)*(1+K992)</f>
        <v>851.76739999999995</v>
      </c>
      <c r="D992" s="3">
        <v>8</v>
      </c>
      <c r="E992" s="3">
        <v>4</v>
      </c>
      <c r="F992" s="3">
        <v>8</v>
      </c>
      <c r="G992" s="3">
        <f>SUMIFS($S$2:$S$10,$R$2:$R$10,D992)</f>
        <v>27</v>
      </c>
      <c r="H992" s="3">
        <f>SUMIFS($S$2:$S$10,$R$2:$R$10,E992)</f>
        <v>7</v>
      </c>
      <c r="I992" s="3">
        <f>SUMIFS($S$2:$S$10,$R$2:$R$10,F992)</f>
        <v>27</v>
      </c>
      <c r="J992" s="3">
        <f>SUM(G992:I992)</f>
        <v>61</v>
      </c>
      <c r="K992" s="3">
        <f>SUMIFS($T$2:$T$10,$R$2:$R$10,E992)</f>
        <v>0.22</v>
      </c>
      <c r="L992" s="3">
        <f>SUMIFS($V$2:$V$10,$R$2:$R$10,F992)</f>
        <v>0.08</v>
      </c>
      <c r="M992" s="3">
        <f>SUMIFS($U$2:$U$10,$R$2:$R$10,D992)</f>
        <v>0.13</v>
      </c>
    </row>
    <row r="993" spans="1:13" x14ac:dyDescent="0.25">
      <c r="A993" s="3">
        <f>(A$2+A$2*M993+A$2*L993)*(1+K993)</f>
        <v>789.70319999999992</v>
      </c>
      <c r="B993" s="3">
        <f>(B$2+B$2*M993+B$2*L993)*(1+K993)</f>
        <v>918.53190000000006</v>
      </c>
      <c r="C993" s="3">
        <f>(C$2+C$2*M993+C$2*L993)*(1+K993)</f>
        <v>965.37869999999998</v>
      </c>
      <c r="D993" s="3">
        <v>8</v>
      </c>
      <c r="E993" s="3">
        <v>8</v>
      </c>
      <c r="F993" s="3">
        <v>4</v>
      </c>
      <c r="G993" s="3">
        <f>SUMIFS($S$2:$S$10,$R$2:$R$10,D993)</f>
        <v>27</v>
      </c>
      <c r="H993" s="3">
        <f>SUMIFS($S$2:$S$10,$R$2:$R$10,E993)</f>
        <v>27</v>
      </c>
      <c r="I993" s="3">
        <f>SUMIFS($S$2:$S$10,$R$2:$R$10,F993)</f>
        <v>7</v>
      </c>
      <c r="J993" s="3">
        <f>SUM(G993:I993)</f>
        <v>61</v>
      </c>
      <c r="K993" s="3">
        <f>SUMIFS($T$2:$T$10,$R$2:$R$10,E993)</f>
        <v>0.43</v>
      </c>
      <c r="L993" s="3">
        <f>SUMIFS($V$2:$V$10,$R$2:$R$10,F993)</f>
        <v>0.04</v>
      </c>
      <c r="M993" s="3">
        <f>SUMIFS($U$2:$U$10,$R$2:$R$10,D993)</f>
        <v>0.13</v>
      </c>
    </row>
    <row r="994" spans="1:13" x14ac:dyDescent="0.25">
      <c r="A994" s="3">
        <f>(A$2+A$2*M994+A$2*L994)*(1+K994)</f>
        <v>580.55999999999995</v>
      </c>
      <c r="B994" s="3">
        <f>(B$2+B$2*M994+B$2*L994)*(1+K994)</f>
        <v>675.27</v>
      </c>
      <c r="C994" s="3">
        <f>(C$2+C$2*M994+C$2*L994)*(1+K994)</f>
        <v>709.70999999999992</v>
      </c>
      <c r="D994" s="3">
        <v>9</v>
      </c>
      <c r="E994" s="3">
        <v>0</v>
      </c>
      <c r="F994" s="3">
        <v>8</v>
      </c>
      <c r="G994" s="3">
        <f>SUMIFS($S$2:$S$10,$R$2:$R$10,D994)</f>
        <v>34</v>
      </c>
      <c r="H994" s="3">
        <f>SUMIFS($S$2:$S$10,$R$2:$R$10,E994)</f>
        <v>0</v>
      </c>
      <c r="I994" s="3">
        <f>SUMIFS($S$2:$S$10,$R$2:$R$10,F994)</f>
        <v>27</v>
      </c>
      <c r="J994" s="3">
        <f>SUM(G994:I994)</f>
        <v>61</v>
      </c>
      <c r="K994" s="3">
        <f>SUMIFS($T$2:$T$10,$R$2:$R$10,E994)</f>
        <v>0</v>
      </c>
      <c r="L994" s="3">
        <f>SUMIFS($V$2:$V$10,$R$2:$R$10,F994)</f>
        <v>0.08</v>
      </c>
      <c r="M994" s="3">
        <f>SUMIFS($U$2:$U$10,$R$2:$R$10,D994)</f>
        <v>0.15</v>
      </c>
    </row>
    <row r="995" spans="1:13" x14ac:dyDescent="0.25">
      <c r="A995" s="3">
        <f>(A$2+A$2*M995+A$2*L995)*(1+K995)</f>
        <v>702.52479999999991</v>
      </c>
      <c r="B995" s="3">
        <f>(B$2+B$2*M995+B$2*L995)*(1+K995)</f>
        <v>817.13159999999993</v>
      </c>
      <c r="C995" s="3">
        <f>(C$2+C$2*M995+C$2*L995)*(1+K995)</f>
        <v>858.80679999999995</v>
      </c>
      <c r="D995" s="3">
        <v>9</v>
      </c>
      <c r="E995" s="3">
        <v>4</v>
      </c>
      <c r="F995" s="3">
        <v>7</v>
      </c>
      <c r="G995" s="3">
        <f>SUMIFS($S$2:$S$10,$R$2:$R$10,D995)</f>
        <v>34</v>
      </c>
      <c r="H995" s="3">
        <f>SUMIFS($S$2:$S$10,$R$2:$R$10,E995)</f>
        <v>7</v>
      </c>
      <c r="I995" s="3">
        <f>SUMIFS($S$2:$S$10,$R$2:$R$10,F995)</f>
        <v>20</v>
      </c>
      <c r="J995" s="3">
        <f>SUM(G995:I995)</f>
        <v>61</v>
      </c>
      <c r="K995" s="3">
        <f>SUMIFS($T$2:$T$10,$R$2:$R$10,E995)</f>
        <v>0.22</v>
      </c>
      <c r="L995" s="3">
        <f>SUMIFS($V$2:$V$10,$R$2:$R$10,F995)</f>
        <v>7.0000000000000007E-2</v>
      </c>
      <c r="M995" s="3">
        <f>SUMIFS($U$2:$U$10,$R$2:$R$10,D995)</f>
        <v>0.15</v>
      </c>
    </row>
    <row r="996" spans="1:13" x14ac:dyDescent="0.25">
      <c r="A996" s="3">
        <f>(A$2+A$2*M996+A$2*L996)*(1+K996)</f>
        <v>769.50159999999994</v>
      </c>
      <c r="B996" s="3">
        <f>(B$2+B$2*M996+B$2*L996)*(1+K996)</f>
        <v>895.03470000000016</v>
      </c>
      <c r="C996" s="3">
        <f>(C$2+C$2*M996+C$2*L996)*(1+K996)</f>
        <v>940.68310000000008</v>
      </c>
      <c r="D996" s="3">
        <v>9</v>
      </c>
      <c r="E996" s="3">
        <v>7</v>
      </c>
      <c r="F996" s="3">
        <v>4</v>
      </c>
      <c r="G996" s="3">
        <f>SUMIFS($S$2:$S$10,$R$2:$R$10,D996)</f>
        <v>34</v>
      </c>
      <c r="H996" s="3">
        <f>SUMIFS($S$2:$S$10,$R$2:$R$10,E996)</f>
        <v>20</v>
      </c>
      <c r="I996" s="3">
        <f>SUMIFS($S$2:$S$10,$R$2:$R$10,F996)</f>
        <v>7</v>
      </c>
      <c r="J996" s="3">
        <f>SUM(G996:I996)</f>
        <v>61</v>
      </c>
      <c r="K996" s="3">
        <f>SUMIFS($T$2:$T$10,$R$2:$R$10,E996)</f>
        <v>0.37</v>
      </c>
      <c r="L996" s="3">
        <f>SUMIFS($V$2:$V$10,$R$2:$R$10,F996)</f>
        <v>0.04</v>
      </c>
      <c r="M996" s="3">
        <f>SUMIFS($U$2:$U$10,$R$2:$R$10,D996)</f>
        <v>0.15</v>
      </c>
    </row>
    <row r="997" spans="1:13" x14ac:dyDescent="0.25">
      <c r="A997" s="3">
        <f>(A$2+A$2*M997+A$2*L997)*(1+K997)</f>
        <v>776.20399999999995</v>
      </c>
      <c r="B997" s="3">
        <f>(B$2+B$2*M997+B$2*L997)*(1+K997)</f>
        <v>902.83050000000003</v>
      </c>
      <c r="C997" s="3">
        <f>(C$2+C$2*M997+C$2*L997)*(1+K997)</f>
        <v>948.87649999999985</v>
      </c>
      <c r="D997" s="3">
        <v>9</v>
      </c>
      <c r="E997" s="3">
        <v>8</v>
      </c>
      <c r="F997" s="3">
        <v>0</v>
      </c>
      <c r="G997" s="3">
        <f>SUMIFS($S$2:$S$10,$R$2:$R$10,D997)</f>
        <v>34</v>
      </c>
      <c r="H997" s="3">
        <f>SUMIFS($S$2:$S$10,$R$2:$R$10,E997)</f>
        <v>27</v>
      </c>
      <c r="I997" s="3">
        <f>SUMIFS($S$2:$S$10,$R$2:$R$10,F997)</f>
        <v>0</v>
      </c>
      <c r="J997" s="3">
        <f>SUM(G997:I997)</f>
        <v>61</v>
      </c>
      <c r="K997" s="3">
        <f>SUMIFS($T$2:$T$10,$R$2:$R$10,E997)</f>
        <v>0.43</v>
      </c>
      <c r="L997" s="3">
        <f>SUMIFS($V$2:$V$10,$R$2:$R$10,F997)</f>
        <v>0</v>
      </c>
      <c r="M997" s="3">
        <f>SUMIFS($U$2:$U$10,$R$2:$R$10,D997)</f>
        <v>0.15</v>
      </c>
    </row>
    <row r="998" spans="1:13" x14ac:dyDescent="0.25">
      <c r="A998" s="2">
        <f>(A$2+A$2*K998+A$2*M998)*(1+L998)</f>
        <v>762.70479999999998</v>
      </c>
      <c r="B998" s="2">
        <f>(B$2+B$2*K998+B$2*M998)*(1+L998)</f>
        <v>887.12909999999999</v>
      </c>
      <c r="C998" s="2">
        <f>(C$2+C$2*K998+C$2*M998)*(1+L998)</f>
        <v>932.37429999999995</v>
      </c>
      <c r="D998" s="2">
        <v>8</v>
      </c>
      <c r="E998" s="2">
        <v>4</v>
      </c>
      <c r="F998" s="2">
        <v>8</v>
      </c>
      <c r="G998" s="2">
        <f>SUMIFS($S$2:$S$10,$R$2:$R$10,D998)</f>
        <v>27</v>
      </c>
      <c r="H998" s="2">
        <f>SUMIFS($S$2:$S$10,$R$2:$R$10,E998)</f>
        <v>7</v>
      </c>
      <c r="I998" s="2">
        <f>SUMIFS($S$2:$S$10,$R$2:$R$10,F998)</f>
        <v>27</v>
      </c>
      <c r="J998" s="2">
        <f>SUM(G998:I998)</f>
        <v>61</v>
      </c>
      <c r="K998" s="2">
        <f>SUMIFS($U$2:$U$10,$R$2:$R$10,E998)</f>
        <v>0.05</v>
      </c>
      <c r="L998" s="2">
        <f>SUMIFS($T$2:$T$10,$R$2:$R$10,F998)</f>
        <v>0.43</v>
      </c>
      <c r="M998" s="2">
        <f>SUMIFS($V$2:$V$10,$R$2:$R$10,D998)</f>
        <v>0.08</v>
      </c>
    </row>
    <row r="999" spans="1:13" x14ac:dyDescent="0.25">
      <c r="A999" s="2">
        <f>(A$2+A$2*K999+A$2*M999)*(1+L999)</f>
        <v>696.76639999999998</v>
      </c>
      <c r="B999" s="2">
        <f>(B$2+B$2*K999+B$2*M999)*(1+L999)</f>
        <v>810.43379999999991</v>
      </c>
      <c r="C999" s="2">
        <f>(C$2+C$2*K999+C$2*M999)*(1+L999)</f>
        <v>851.76739999999995</v>
      </c>
      <c r="D999" s="2">
        <v>8</v>
      </c>
      <c r="E999" s="2">
        <v>8</v>
      </c>
      <c r="F999" s="2">
        <v>4</v>
      </c>
      <c r="G999" s="2">
        <f>SUMIFS($S$2:$S$10,$R$2:$R$10,D999)</f>
        <v>27</v>
      </c>
      <c r="H999" s="2">
        <f>SUMIFS($S$2:$S$10,$R$2:$R$10,E999)</f>
        <v>27</v>
      </c>
      <c r="I999" s="2">
        <f>SUMIFS($S$2:$S$10,$R$2:$R$10,F999)</f>
        <v>7</v>
      </c>
      <c r="J999" s="2">
        <f>SUM(G999:I999)</f>
        <v>61</v>
      </c>
      <c r="K999" s="2">
        <f>SUMIFS($U$2:$U$10,$R$2:$R$10,E999)</f>
        <v>0.13</v>
      </c>
      <c r="L999" s="2">
        <f>SUMIFS($T$2:$T$10,$R$2:$R$10,F999)</f>
        <v>0.22</v>
      </c>
      <c r="M999" s="2">
        <f>SUMIFS($V$2:$V$10,$R$2:$R$10,D999)</f>
        <v>0.08</v>
      </c>
    </row>
    <row r="1000" spans="1:13" x14ac:dyDescent="0.25">
      <c r="A1000" s="2">
        <f>(A$2+A$2*K1000+A$2*M1000)*(1+L1000)</f>
        <v>735.70640000000003</v>
      </c>
      <c r="B1000" s="2">
        <f>(B$2+B$2*K1000+B$2*M1000)*(1+L1000)</f>
        <v>855.72629999999992</v>
      </c>
      <c r="C1000" s="2">
        <f>(C$2+C$2*K1000+C$2*M1000)*(1+L1000)</f>
        <v>899.36989999999992</v>
      </c>
      <c r="D1000" s="2">
        <v>9</v>
      </c>
      <c r="E1000" s="2">
        <v>0</v>
      </c>
      <c r="F1000" s="2">
        <v>8</v>
      </c>
      <c r="G1000" s="2">
        <f>SUMIFS($S$2:$S$10,$R$2:$R$10,D1000)</f>
        <v>34</v>
      </c>
      <c r="H1000" s="2">
        <f>SUMIFS($S$2:$S$10,$R$2:$R$10,E1000)</f>
        <v>0</v>
      </c>
      <c r="I1000" s="2">
        <f>SUMIFS($S$2:$S$10,$R$2:$R$10,F1000)</f>
        <v>27</v>
      </c>
      <c r="J1000" s="2">
        <f>SUM(G1000:I1000)</f>
        <v>61</v>
      </c>
      <c r="K1000" s="2">
        <f>SUMIFS($U$2:$U$10,$R$2:$R$10,E1000)</f>
        <v>0</v>
      </c>
      <c r="L1000" s="2">
        <f>SUMIFS($T$2:$T$10,$R$2:$R$10,F1000)</f>
        <v>0.43</v>
      </c>
      <c r="M1000" s="2">
        <f>SUMIFS($V$2:$V$10,$R$2:$R$10,D1000)</f>
        <v>0.09</v>
      </c>
    </row>
    <row r="1001" spans="1:13" x14ac:dyDescent="0.25">
      <c r="A1001" s="2">
        <f>(A$2+A$2*K1001+A$2*M1001)*(1+L1001)</f>
        <v>737.16960000000006</v>
      </c>
      <c r="B1001" s="2">
        <f>(B$2+B$2*K1001+B$2*M1001)*(1+L1001)</f>
        <v>857.42820000000006</v>
      </c>
      <c r="C1001" s="2">
        <f>(C$2+C$2*K1001+C$2*M1001)*(1+L1001)</f>
        <v>901.15859999999998</v>
      </c>
      <c r="D1001" s="2">
        <v>9</v>
      </c>
      <c r="E1001" s="2">
        <v>4</v>
      </c>
      <c r="F1001" s="2">
        <v>7</v>
      </c>
      <c r="G1001" s="2">
        <f>SUMIFS($S$2:$S$10,$R$2:$R$10,D1001)</f>
        <v>34</v>
      </c>
      <c r="H1001" s="2">
        <f>SUMIFS($S$2:$S$10,$R$2:$R$10,E1001)</f>
        <v>7</v>
      </c>
      <c r="I1001" s="2">
        <f>SUMIFS($S$2:$S$10,$R$2:$R$10,F1001)</f>
        <v>20</v>
      </c>
      <c r="J1001" s="2">
        <f>SUM(G1001:I1001)</f>
        <v>61</v>
      </c>
      <c r="K1001" s="2">
        <f>SUMIFS($U$2:$U$10,$R$2:$R$10,E1001)</f>
        <v>0.05</v>
      </c>
      <c r="L1001" s="2">
        <f>SUMIFS($T$2:$T$10,$R$2:$R$10,F1001)</f>
        <v>0.37</v>
      </c>
      <c r="M1001" s="2">
        <f>SUMIFS($V$2:$V$10,$R$2:$R$10,D1001)</f>
        <v>0.09</v>
      </c>
    </row>
    <row r="1002" spans="1:13" x14ac:dyDescent="0.25">
      <c r="A1002" s="2">
        <f>(A$2+A$2*K1002+A$2*M1002)*(1+L1002)</f>
        <v>691.00799999999992</v>
      </c>
      <c r="B1002" s="2">
        <f>(B$2+B$2*K1002+B$2*M1002)*(1+L1002)</f>
        <v>803.73599999999988</v>
      </c>
      <c r="C1002" s="2">
        <f>(C$2+C$2*K1002+C$2*M1002)*(1+L1002)</f>
        <v>844.72799999999995</v>
      </c>
      <c r="D1002" s="2">
        <v>9</v>
      </c>
      <c r="E1002" s="2">
        <v>7</v>
      </c>
      <c r="F1002" s="2">
        <v>4</v>
      </c>
      <c r="G1002" s="2">
        <f>SUMIFS($S$2:$S$10,$R$2:$R$10,D1002)</f>
        <v>34</v>
      </c>
      <c r="H1002" s="2">
        <f>SUMIFS($S$2:$S$10,$R$2:$R$10,E1002)</f>
        <v>20</v>
      </c>
      <c r="I1002" s="2">
        <f>SUMIFS($S$2:$S$10,$R$2:$R$10,F1002)</f>
        <v>7</v>
      </c>
      <c r="J1002" s="2">
        <f>SUM(G1002:I1002)</f>
        <v>61</v>
      </c>
      <c r="K1002" s="2">
        <f>SUMIFS($U$2:$U$10,$R$2:$R$10,E1002)</f>
        <v>0.11</v>
      </c>
      <c r="L1002" s="2">
        <f>SUMIFS($T$2:$T$10,$R$2:$R$10,F1002)</f>
        <v>0.22</v>
      </c>
      <c r="M1002" s="2">
        <f>SUMIFS($V$2:$V$10,$R$2:$R$10,D1002)</f>
        <v>0.09</v>
      </c>
    </row>
    <row r="1003" spans="1:13" x14ac:dyDescent="0.25">
      <c r="A1003" s="2">
        <f>(A$2+A$2*K1003+A$2*M1003)*(1+L1003)</f>
        <v>575.84</v>
      </c>
      <c r="B1003" s="2">
        <f>(B$2+B$2*K1003+B$2*M1003)*(1+L1003)</f>
        <v>669.78</v>
      </c>
      <c r="C1003" s="2">
        <f>(C$2+C$2*K1003+C$2*M1003)*(1+L1003)</f>
        <v>703.93999999999994</v>
      </c>
      <c r="D1003" s="2">
        <v>9</v>
      </c>
      <c r="E1003" s="2">
        <v>8</v>
      </c>
      <c r="F1003" s="2">
        <v>0</v>
      </c>
      <c r="G1003" s="2">
        <f>SUMIFS($S$2:$S$10,$R$2:$R$10,D1003)</f>
        <v>34</v>
      </c>
      <c r="H1003" s="2">
        <f>SUMIFS($S$2:$S$10,$R$2:$R$10,E1003)</f>
        <v>27</v>
      </c>
      <c r="I1003" s="2">
        <f>SUMIFS($S$2:$S$10,$R$2:$R$10,F1003)</f>
        <v>0</v>
      </c>
      <c r="J1003" s="2">
        <f>SUM(G1003:I1003)</f>
        <v>61</v>
      </c>
      <c r="K1003" s="2">
        <f>SUMIFS($U$2:$U$10,$R$2:$R$10,E1003)</f>
        <v>0.13</v>
      </c>
      <c r="L1003" s="2">
        <f>SUMIFS($T$2:$T$10,$R$2:$R$10,F1003)</f>
        <v>0</v>
      </c>
      <c r="M1003" s="2">
        <f>SUMIFS($V$2:$V$10,$R$2:$R$10,D1003)</f>
        <v>0.09</v>
      </c>
    </row>
    <row r="1004" spans="1:13" x14ac:dyDescent="0.25">
      <c r="A1004" s="1">
        <f>(A$2+A$2*K1004+A$2*L1004)*(1+M1004)</f>
        <v>782.95359999999994</v>
      </c>
      <c r="B1004" s="1">
        <f>(B$2+B$2*K1004+B$2*L1004)*(1+M1004)</f>
        <v>910.68119999999988</v>
      </c>
      <c r="C1004" s="1">
        <f>(C$2+C$2*K1004+C$2*L1004)*(1+M1004)</f>
        <v>957.12759999999992</v>
      </c>
      <c r="D1004" s="1">
        <v>8</v>
      </c>
      <c r="E1004" s="1">
        <v>6</v>
      </c>
      <c r="F1004" s="1">
        <v>7</v>
      </c>
      <c r="G1004" s="1">
        <f>SUMIFS($S$2:$S$10,$R$2:$R$10,D1004)</f>
        <v>27</v>
      </c>
      <c r="H1004" s="1">
        <f>SUMIFS($S$2:$S$10,$R$2:$R$10,E1004)</f>
        <v>15</v>
      </c>
      <c r="I1004" s="1">
        <f>SUMIFS($S$2:$S$10,$R$2:$R$10,F1004)</f>
        <v>20</v>
      </c>
      <c r="J1004" s="1">
        <f>SUM(G1004:I1004)</f>
        <v>62</v>
      </c>
      <c r="K1004" s="1">
        <f>SUMIFS($U$2:$U$10,$R$2:$R$10,E1004)</f>
        <v>0.09</v>
      </c>
      <c r="L1004" s="1">
        <f>SUMIFS($V$2:$V$10,$R$2:$R$10,F1004)</f>
        <v>7.0000000000000007E-2</v>
      </c>
      <c r="M1004" s="1">
        <f>SUMIFS($T$2:$T$10,$R$2:$R$10,D1004)</f>
        <v>0.43</v>
      </c>
    </row>
    <row r="1005" spans="1:13" x14ac:dyDescent="0.25">
      <c r="A1005" s="1">
        <f>(A$2+A$2*K1005+A$2*L1005)*(1+M1005)</f>
        <v>789.70319999999992</v>
      </c>
      <c r="B1005" s="1">
        <f>(B$2+B$2*K1005+B$2*L1005)*(1+M1005)</f>
        <v>918.53189999999984</v>
      </c>
      <c r="C1005" s="1">
        <f>(C$2+C$2*K1005+C$2*L1005)*(1+M1005)</f>
        <v>965.37869999999998</v>
      </c>
      <c r="D1005" s="1">
        <v>8</v>
      </c>
      <c r="E1005" s="1">
        <v>7</v>
      </c>
      <c r="F1005" s="1">
        <v>6</v>
      </c>
      <c r="G1005" s="1">
        <f>SUMIFS($S$2:$S$10,$R$2:$R$10,D1005)</f>
        <v>27</v>
      </c>
      <c r="H1005" s="1">
        <f>SUMIFS($S$2:$S$10,$R$2:$R$10,E1005)</f>
        <v>20</v>
      </c>
      <c r="I1005" s="1">
        <f>SUMIFS($S$2:$S$10,$R$2:$R$10,F1005)</f>
        <v>15</v>
      </c>
      <c r="J1005" s="1">
        <f>SUM(G1005:I1005)</f>
        <v>62</v>
      </c>
      <c r="K1005" s="1">
        <f>SUMIFS($U$2:$U$10,$R$2:$R$10,E1005)</f>
        <v>0.11</v>
      </c>
      <c r="L1005" s="1">
        <f>SUMIFS($V$2:$V$10,$R$2:$R$10,F1005)</f>
        <v>0.06</v>
      </c>
      <c r="M1005" s="1">
        <f>SUMIFS($T$2:$T$10,$R$2:$R$10,D1005)</f>
        <v>0.43</v>
      </c>
    </row>
    <row r="1006" spans="1:13" x14ac:dyDescent="0.25">
      <c r="A1006" s="1">
        <f>(A$2+A$2*K1006+A$2*L1006)*(1+M1006)</f>
        <v>766.5752</v>
      </c>
      <c r="B1006" s="1">
        <f>(B$2+B$2*K1006+B$2*L1006)*(1+M1006)</f>
        <v>891.6309</v>
      </c>
      <c r="C1006" s="1">
        <f>(C$2+C$2*K1006+C$2*L1006)*(1+M1006)</f>
        <v>937.10569999999996</v>
      </c>
      <c r="D1006" s="1">
        <v>9</v>
      </c>
      <c r="E1006" s="1">
        <v>1</v>
      </c>
      <c r="F1006" s="1">
        <v>8</v>
      </c>
      <c r="G1006" s="1">
        <f>SUMIFS($S$2:$S$10,$R$2:$R$10,D1006)</f>
        <v>34</v>
      </c>
      <c r="H1006" s="1">
        <f>SUMIFS($S$2:$S$10,$R$2:$R$10,E1006)</f>
        <v>1</v>
      </c>
      <c r="I1006" s="1">
        <f>SUMIFS($S$2:$S$10,$R$2:$R$10,F1006)</f>
        <v>27</v>
      </c>
      <c r="J1006" s="1">
        <f>SUM(G1006:I1006)</f>
        <v>62</v>
      </c>
      <c r="K1006" s="1">
        <f>SUMIFS($U$2:$U$10,$R$2:$R$10,E1006)</f>
        <v>0.01</v>
      </c>
      <c r="L1006" s="1">
        <f>SUMIFS($V$2:$V$10,$R$2:$R$10,F1006)</f>
        <v>0.08</v>
      </c>
      <c r="M1006" s="1">
        <f>SUMIFS($T$2:$T$10,$R$2:$R$10,D1006)</f>
        <v>0.49</v>
      </c>
    </row>
    <row r="1007" spans="1:13" x14ac:dyDescent="0.25">
      <c r="A1007" s="1">
        <f>(A$2+A$2*K1007+A$2*L1007)*(1+M1007)</f>
        <v>801.7392000000001</v>
      </c>
      <c r="B1007" s="1">
        <f>(B$2+B$2*K1007+B$2*L1007)*(1+M1007)</f>
        <v>932.53139999999996</v>
      </c>
      <c r="C1007" s="1">
        <f>(C$2+C$2*K1007+C$2*L1007)*(1+M1007)</f>
        <v>980.09219999999993</v>
      </c>
      <c r="D1007" s="1">
        <v>9</v>
      </c>
      <c r="E1007" s="1">
        <v>8</v>
      </c>
      <c r="F1007" s="1">
        <v>1</v>
      </c>
      <c r="G1007" s="1">
        <f>SUMIFS($S$2:$S$10,$R$2:$R$10,D1007)</f>
        <v>34</v>
      </c>
      <c r="H1007" s="1">
        <f>SUMIFS($S$2:$S$10,$R$2:$R$10,E1007)</f>
        <v>27</v>
      </c>
      <c r="I1007" s="1">
        <f>SUMIFS($S$2:$S$10,$R$2:$R$10,F1007)</f>
        <v>1</v>
      </c>
      <c r="J1007" s="1">
        <f>SUM(G1007:I1007)</f>
        <v>62</v>
      </c>
      <c r="K1007" s="1">
        <f>SUMIFS($U$2:$U$10,$R$2:$R$10,E1007)</f>
        <v>0.13</v>
      </c>
      <c r="L1007" s="1">
        <f>SUMIFS($V$2:$V$10,$R$2:$R$10,F1007)</f>
        <v>0.01</v>
      </c>
      <c r="M1007" s="1">
        <f>SUMIFS($T$2:$T$10,$R$2:$R$10,D1007)</f>
        <v>0.49</v>
      </c>
    </row>
    <row r="1008" spans="1:13" x14ac:dyDescent="0.25">
      <c r="A1008" s="3">
        <f>(A$2+A$2*M1008+A$2*L1008)*(1+K1008)</f>
        <v>747.64800000000002</v>
      </c>
      <c r="B1008" s="3">
        <f>(B$2+B$2*M1008+B$2*L1008)*(1+K1008)</f>
        <v>869.61599999999999</v>
      </c>
      <c r="C1008" s="3">
        <f>(C$2+C$2*M1008+C$2*L1008)*(1+K1008)</f>
        <v>913.96799999999996</v>
      </c>
      <c r="D1008" s="3">
        <v>8</v>
      </c>
      <c r="E1008" s="3">
        <v>6</v>
      </c>
      <c r="F1008" s="3">
        <v>7</v>
      </c>
      <c r="G1008" s="3">
        <f>SUMIFS($S$2:$S$10,$R$2:$R$10,D1008)</f>
        <v>27</v>
      </c>
      <c r="H1008" s="3">
        <f>SUMIFS($S$2:$S$10,$R$2:$R$10,E1008)</f>
        <v>15</v>
      </c>
      <c r="I1008" s="3">
        <f>SUMIFS($S$2:$S$10,$R$2:$R$10,F1008)</f>
        <v>20</v>
      </c>
      <c r="J1008" s="3">
        <f>SUM(G1008:I1008)</f>
        <v>62</v>
      </c>
      <c r="K1008" s="3">
        <f>SUMIFS($T$2:$T$10,$R$2:$R$10,E1008)</f>
        <v>0.32</v>
      </c>
      <c r="L1008" s="3">
        <f>SUMIFS($V$2:$V$10,$R$2:$R$10,F1008)</f>
        <v>7.0000000000000007E-2</v>
      </c>
      <c r="M1008" s="3">
        <f>SUMIFS($U$2:$U$10,$R$2:$R$10,D1008)</f>
        <v>0.13</v>
      </c>
    </row>
    <row r="1009" spans="1:13" x14ac:dyDescent="0.25">
      <c r="A1009" s="3">
        <f>(A$2+A$2*M1009+A$2*L1009)*(1+K1009)</f>
        <v>769.50160000000017</v>
      </c>
      <c r="B1009" s="3">
        <f>(B$2+B$2*M1009+B$2*L1009)*(1+K1009)</f>
        <v>895.03470000000004</v>
      </c>
      <c r="C1009" s="3">
        <f>(C$2+C$2*M1009+C$2*L1009)*(1+K1009)</f>
        <v>940.68310000000008</v>
      </c>
      <c r="D1009" s="3">
        <v>8</v>
      </c>
      <c r="E1009" s="3">
        <v>7</v>
      </c>
      <c r="F1009" s="3">
        <v>6</v>
      </c>
      <c r="G1009" s="3">
        <f>SUMIFS($S$2:$S$10,$R$2:$R$10,D1009)</f>
        <v>27</v>
      </c>
      <c r="H1009" s="3">
        <f>SUMIFS($S$2:$S$10,$R$2:$R$10,E1009)</f>
        <v>20</v>
      </c>
      <c r="I1009" s="3">
        <f>SUMIFS($S$2:$S$10,$R$2:$R$10,F1009)</f>
        <v>15</v>
      </c>
      <c r="J1009" s="3">
        <f>SUM(G1009:I1009)</f>
        <v>62</v>
      </c>
      <c r="K1009" s="3">
        <f>SUMIFS($T$2:$T$10,$R$2:$R$10,E1009)</f>
        <v>0.37</v>
      </c>
      <c r="L1009" s="3">
        <f>SUMIFS($V$2:$V$10,$R$2:$R$10,F1009)</f>
        <v>0.06</v>
      </c>
      <c r="M1009" s="3">
        <f>SUMIFS($U$2:$U$10,$R$2:$R$10,D1009)</f>
        <v>0.13</v>
      </c>
    </row>
    <row r="1010" spans="1:13" x14ac:dyDescent="0.25">
      <c r="A1010" s="3">
        <f>(A$2+A$2*M1010+A$2*L1010)*(1+K1010)</f>
        <v>656.03279999999984</v>
      </c>
      <c r="B1010" s="3">
        <f>(B$2+B$2*M1010+B$2*L1010)*(1+K1010)</f>
        <v>763.05509999999992</v>
      </c>
      <c r="C1010" s="3">
        <f>(C$2+C$2*M1010+C$2*L1010)*(1+K1010)</f>
        <v>801.97229999999979</v>
      </c>
      <c r="D1010" s="3">
        <v>9</v>
      </c>
      <c r="E1010" s="3">
        <v>1</v>
      </c>
      <c r="F1010" s="3">
        <v>8</v>
      </c>
      <c r="G1010" s="3">
        <f>SUMIFS($S$2:$S$10,$R$2:$R$10,D1010)</f>
        <v>34</v>
      </c>
      <c r="H1010" s="3">
        <f>SUMIFS($S$2:$S$10,$R$2:$R$10,E1010)</f>
        <v>1</v>
      </c>
      <c r="I1010" s="3">
        <f>SUMIFS($S$2:$S$10,$R$2:$R$10,F1010)</f>
        <v>27</v>
      </c>
      <c r="J1010" s="3">
        <f>SUM(G1010:I1010)</f>
        <v>62</v>
      </c>
      <c r="K1010" s="3">
        <f>SUMIFS($T$2:$T$10,$R$2:$R$10,E1010)</f>
        <v>0.13</v>
      </c>
      <c r="L1010" s="3">
        <f>SUMIFS($V$2:$V$10,$R$2:$R$10,F1010)</f>
        <v>0.08</v>
      </c>
      <c r="M1010" s="3">
        <f>SUMIFS($U$2:$U$10,$R$2:$R$10,D1010)</f>
        <v>0.15</v>
      </c>
    </row>
    <row r="1011" spans="1:13" x14ac:dyDescent="0.25">
      <c r="A1011" s="3">
        <f>(A$2+A$2*M1011+A$2*L1011)*(1+K1011)</f>
        <v>782.95359999999994</v>
      </c>
      <c r="B1011" s="3">
        <f>(B$2+B$2*M1011+B$2*L1011)*(1+K1011)</f>
        <v>910.68119999999999</v>
      </c>
      <c r="C1011" s="3">
        <f>(C$2+C$2*M1011+C$2*L1011)*(1+K1011)</f>
        <v>957.12759999999992</v>
      </c>
      <c r="D1011" s="3">
        <v>9</v>
      </c>
      <c r="E1011" s="3">
        <v>8</v>
      </c>
      <c r="F1011" s="3">
        <v>1</v>
      </c>
      <c r="G1011" s="3">
        <f>SUMIFS($S$2:$S$10,$R$2:$R$10,D1011)</f>
        <v>34</v>
      </c>
      <c r="H1011" s="3">
        <f>SUMIFS($S$2:$S$10,$R$2:$R$10,E1011)</f>
        <v>27</v>
      </c>
      <c r="I1011" s="3">
        <f>SUMIFS($S$2:$S$10,$R$2:$R$10,F1011)</f>
        <v>1</v>
      </c>
      <c r="J1011" s="3">
        <f>SUM(G1011:I1011)</f>
        <v>62</v>
      </c>
      <c r="K1011" s="3">
        <f>SUMIFS($T$2:$T$10,$R$2:$R$10,E1011)</f>
        <v>0.43</v>
      </c>
      <c r="L1011" s="3">
        <f>SUMIFS($V$2:$V$10,$R$2:$R$10,F1011)</f>
        <v>0.01</v>
      </c>
      <c r="M1011" s="3">
        <f>SUMIFS($U$2:$U$10,$R$2:$R$10,D1011)</f>
        <v>0.15</v>
      </c>
    </row>
    <row r="1012" spans="1:13" x14ac:dyDescent="0.25">
      <c r="A1012" s="2">
        <f>(A$2+A$2*K1012+A$2*M1012)*(1+L1012)</f>
        <v>756.56880000000012</v>
      </c>
      <c r="B1012" s="2">
        <f>(B$2+B$2*K1012+B$2*M1012)*(1+L1012)</f>
        <v>879.99209999999994</v>
      </c>
      <c r="C1012" s="2">
        <f>(C$2+C$2*K1012+C$2*M1012)*(1+L1012)</f>
        <v>924.87329999999997</v>
      </c>
      <c r="D1012" s="2">
        <v>8</v>
      </c>
      <c r="E1012" s="2">
        <v>6</v>
      </c>
      <c r="F1012" s="2">
        <v>7</v>
      </c>
      <c r="G1012" s="2">
        <f>SUMIFS($S$2:$S$10,$R$2:$R$10,D1012)</f>
        <v>27</v>
      </c>
      <c r="H1012" s="2">
        <f>SUMIFS($S$2:$S$10,$R$2:$R$10,E1012)</f>
        <v>15</v>
      </c>
      <c r="I1012" s="2">
        <f>SUMIFS($S$2:$S$10,$R$2:$R$10,F1012)</f>
        <v>20</v>
      </c>
      <c r="J1012" s="2">
        <f>SUM(G1012:I1012)</f>
        <v>62</v>
      </c>
      <c r="K1012" s="2">
        <f>SUMIFS($U$2:$U$10,$R$2:$R$10,E1012)</f>
        <v>0.09</v>
      </c>
      <c r="L1012" s="2">
        <f>SUMIFS($T$2:$T$10,$R$2:$R$10,F1012)</f>
        <v>0.37</v>
      </c>
      <c r="M1012" s="2">
        <f>SUMIFS($V$2:$V$10,$R$2:$R$10,D1012)</f>
        <v>0.08</v>
      </c>
    </row>
    <row r="1013" spans="1:13" x14ac:dyDescent="0.25">
      <c r="A1013" s="2">
        <f>(A$2+A$2*K1013+A$2*M1013)*(1+L1013)</f>
        <v>741.41759999999999</v>
      </c>
      <c r="B1013" s="2">
        <f>(B$2+B$2*K1013+B$2*M1013)*(1+L1013)</f>
        <v>862.36919999999998</v>
      </c>
      <c r="C1013" s="2">
        <f>(C$2+C$2*K1013+C$2*M1013)*(1+L1013)</f>
        <v>906.35160000000008</v>
      </c>
      <c r="D1013" s="2">
        <v>8</v>
      </c>
      <c r="E1013" s="2">
        <v>7</v>
      </c>
      <c r="F1013" s="2">
        <v>6</v>
      </c>
      <c r="G1013" s="2">
        <f>SUMIFS($S$2:$S$10,$R$2:$R$10,D1013)</f>
        <v>27</v>
      </c>
      <c r="H1013" s="2">
        <f>SUMIFS($S$2:$S$10,$R$2:$R$10,E1013)</f>
        <v>20</v>
      </c>
      <c r="I1013" s="2">
        <f>SUMIFS($S$2:$S$10,$R$2:$R$10,F1013)</f>
        <v>15</v>
      </c>
      <c r="J1013" s="2">
        <f>SUM(G1013:I1013)</f>
        <v>62</v>
      </c>
      <c r="K1013" s="2">
        <f>SUMIFS($U$2:$U$10,$R$2:$R$10,E1013)</f>
        <v>0.11</v>
      </c>
      <c r="L1013" s="2">
        <f>SUMIFS($T$2:$T$10,$R$2:$R$10,F1013)</f>
        <v>0.32</v>
      </c>
      <c r="M1013" s="2">
        <f>SUMIFS($V$2:$V$10,$R$2:$R$10,D1013)</f>
        <v>0.08</v>
      </c>
    </row>
    <row r="1014" spans="1:13" x14ac:dyDescent="0.25">
      <c r="A1014" s="2">
        <f>(A$2+A$2*K1014+A$2*M1014)*(1+L1014)</f>
        <v>742.45600000000002</v>
      </c>
      <c r="B1014" s="2">
        <f>(B$2+B$2*K1014+B$2*M1014)*(1+L1014)</f>
        <v>863.57699999999988</v>
      </c>
      <c r="C1014" s="2">
        <f>(C$2+C$2*K1014+C$2*M1014)*(1+L1014)</f>
        <v>907.62099999999987</v>
      </c>
      <c r="D1014" s="2">
        <v>9</v>
      </c>
      <c r="E1014" s="2">
        <v>1</v>
      </c>
      <c r="F1014" s="2">
        <v>8</v>
      </c>
      <c r="G1014" s="2">
        <f>SUMIFS($S$2:$S$10,$R$2:$R$10,D1014)</f>
        <v>34</v>
      </c>
      <c r="H1014" s="2">
        <f>SUMIFS($S$2:$S$10,$R$2:$R$10,E1014)</f>
        <v>1</v>
      </c>
      <c r="I1014" s="2">
        <f>SUMIFS($S$2:$S$10,$R$2:$R$10,F1014)</f>
        <v>27</v>
      </c>
      <c r="J1014" s="2">
        <f>SUM(G1014:I1014)</f>
        <v>62</v>
      </c>
      <c r="K1014" s="2">
        <f>SUMIFS($U$2:$U$10,$R$2:$R$10,E1014)</f>
        <v>0.01</v>
      </c>
      <c r="L1014" s="2">
        <f>SUMIFS($T$2:$T$10,$R$2:$R$10,F1014)</f>
        <v>0.43</v>
      </c>
      <c r="M1014" s="2">
        <f>SUMIFS($V$2:$V$10,$R$2:$R$10,D1014)</f>
        <v>0.09</v>
      </c>
    </row>
    <row r="1015" spans="1:13" x14ac:dyDescent="0.25">
      <c r="A1015" s="2">
        <f>(A$2+A$2*K1015+A$2*M1015)*(1+L1015)</f>
        <v>650.69920000000002</v>
      </c>
      <c r="B1015" s="2">
        <f>(B$2+B$2*K1015+B$2*M1015)*(1+L1015)</f>
        <v>756.8513999999999</v>
      </c>
      <c r="C1015" s="2">
        <f>(C$2+C$2*K1015+C$2*M1015)*(1+L1015)</f>
        <v>795.45219999999983</v>
      </c>
      <c r="D1015" s="2">
        <v>9</v>
      </c>
      <c r="E1015" s="2">
        <v>8</v>
      </c>
      <c r="F1015" s="2">
        <v>1</v>
      </c>
      <c r="G1015" s="2">
        <f>SUMIFS($S$2:$S$10,$R$2:$R$10,D1015)</f>
        <v>34</v>
      </c>
      <c r="H1015" s="2">
        <f>SUMIFS($S$2:$S$10,$R$2:$R$10,E1015)</f>
        <v>27</v>
      </c>
      <c r="I1015" s="2">
        <f>SUMIFS($S$2:$S$10,$R$2:$R$10,F1015)</f>
        <v>1</v>
      </c>
      <c r="J1015" s="2">
        <f>SUM(G1015:I1015)</f>
        <v>62</v>
      </c>
      <c r="K1015" s="2">
        <f>SUMIFS($U$2:$U$10,$R$2:$R$10,E1015)</f>
        <v>0.13</v>
      </c>
      <c r="L1015" s="2">
        <f>SUMIFS($T$2:$T$10,$R$2:$R$10,F1015)</f>
        <v>0.13</v>
      </c>
      <c r="M1015" s="2">
        <f>SUMIFS($V$2:$V$10,$R$2:$R$10,D1015)</f>
        <v>0.09</v>
      </c>
    </row>
    <row r="1016" spans="1:13" x14ac:dyDescent="0.25">
      <c r="A1016" s="1">
        <f>(A$2+A$2*K1016+A$2*L1016)*(1+M1016)</f>
        <v>773.60800000000006</v>
      </c>
      <c r="B1016" s="1">
        <f>(B$2+B$2*K1016+B$2*L1016)*(1+M1016)</f>
        <v>899.81099999999992</v>
      </c>
      <c r="C1016" s="1">
        <f>(C$2+C$2*K1016+C$2*L1016)*(1+M1016)</f>
        <v>945.70299999999986</v>
      </c>
      <c r="D1016" s="1">
        <v>9</v>
      </c>
      <c r="E1016" s="1">
        <v>2</v>
      </c>
      <c r="F1016" s="1">
        <v>8</v>
      </c>
      <c r="G1016" s="1">
        <f>SUMIFS($S$2:$S$10,$R$2:$R$10,D1016)</f>
        <v>34</v>
      </c>
      <c r="H1016" s="1">
        <f>SUMIFS($S$2:$S$10,$R$2:$R$10,E1016)</f>
        <v>2</v>
      </c>
      <c r="I1016" s="1">
        <f>SUMIFS($S$2:$S$10,$R$2:$R$10,F1016)</f>
        <v>27</v>
      </c>
      <c r="J1016" s="1">
        <f>SUM(G1016:I1016)</f>
        <v>63</v>
      </c>
      <c r="K1016" s="1">
        <f>SUMIFS($U$2:$U$10,$R$2:$R$10,E1016)</f>
        <v>0.02</v>
      </c>
      <c r="L1016" s="1">
        <f>SUMIFS($V$2:$V$10,$R$2:$R$10,F1016)</f>
        <v>0.08</v>
      </c>
      <c r="M1016" s="1">
        <f>SUMIFS($T$2:$T$10,$R$2:$R$10,D1016)</f>
        <v>0.49</v>
      </c>
    </row>
    <row r="1017" spans="1:13" x14ac:dyDescent="0.25">
      <c r="A1017" s="1">
        <f>(A$2+A$2*K1017+A$2*L1017)*(1+M1017)</f>
        <v>808.77200000000005</v>
      </c>
      <c r="B1017" s="1">
        <f>(B$2+B$2*K1017+B$2*L1017)*(1+M1017)</f>
        <v>940.7115</v>
      </c>
      <c r="C1017" s="1">
        <f>(C$2+C$2*K1017+C$2*L1017)*(1+M1017)</f>
        <v>988.68949999999995</v>
      </c>
      <c r="D1017" s="1">
        <v>9</v>
      </c>
      <c r="E1017" s="1">
        <v>8</v>
      </c>
      <c r="F1017" s="1">
        <v>2</v>
      </c>
      <c r="G1017" s="1">
        <f>SUMIFS($S$2:$S$10,$R$2:$R$10,D1017)</f>
        <v>34</v>
      </c>
      <c r="H1017" s="1">
        <f>SUMIFS($S$2:$S$10,$R$2:$R$10,E1017)</f>
        <v>27</v>
      </c>
      <c r="I1017" s="1">
        <f>SUMIFS($S$2:$S$10,$R$2:$R$10,F1017)</f>
        <v>2</v>
      </c>
      <c r="J1017" s="1">
        <f>SUM(G1017:I1017)</f>
        <v>63</v>
      </c>
      <c r="K1017" s="1">
        <f>SUMIFS($U$2:$U$10,$R$2:$R$10,E1017)</f>
        <v>0.13</v>
      </c>
      <c r="L1017" s="1">
        <f>SUMIFS($V$2:$V$10,$R$2:$R$10,F1017)</f>
        <v>0.02</v>
      </c>
      <c r="M1017" s="1">
        <f>SUMIFS($T$2:$T$10,$R$2:$R$10,D1017)</f>
        <v>0.49</v>
      </c>
    </row>
    <row r="1018" spans="1:13" x14ac:dyDescent="0.25">
      <c r="A1018" s="3">
        <f>(A$2+A$2*M1018+A$2*L1018)*(1+K1018)</f>
        <v>673.44959999999992</v>
      </c>
      <c r="B1018" s="3">
        <f>(B$2+B$2*M1018+B$2*L1018)*(1+K1018)</f>
        <v>783.31319999999994</v>
      </c>
      <c r="C1018" s="3">
        <f>(C$2+C$2*M1018+C$2*L1018)*(1+K1018)</f>
        <v>823.26359999999988</v>
      </c>
      <c r="D1018" s="3">
        <v>9</v>
      </c>
      <c r="E1018" s="3">
        <v>2</v>
      </c>
      <c r="F1018" s="3">
        <v>8</v>
      </c>
      <c r="G1018" s="3">
        <f>SUMIFS($S$2:$S$10,$R$2:$R$10,D1018)</f>
        <v>34</v>
      </c>
      <c r="H1018" s="3">
        <f>SUMIFS($S$2:$S$10,$R$2:$R$10,E1018)</f>
        <v>2</v>
      </c>
      <c r="I1018" s="3">
        <f>SUMIFS($S$2:$S$10,$R$2:$R$10,F1018)</f>
        <v>27</v>
      </c>
      <c r="J1018" s="3">
        <f>SUM(G1018:I1018)</f>
        <v>63</v>
      </c>
      <c r="K1018" s="3">
        <f>SUMIFS($T$2:$T$10,$R$2:$R$10,E1018)</f>
        <v>0.16</v>
      </c>
      <c r="L1018" s="3">
        <f>SUMIFS($V$2:$V$10,$R$2:$R$10,F1018)</f>
        <v>0.08</v>
      </c>
      <c r="M1018" s="3">
        <f>SUMIFS($U$2:$U$10,$R$2:$R$10,D1018)</f>
        <v>0.15</v>
      </c>
    </row>
    <row r="1019" spans="1:13" x14ac:dyDescent="0.25">
      <c r="A1019" s="3">
        <f>(A$2+A$2*M1019+A$2*L1019)*(1+K1019)</f>
        <v>789.70319999999992</v>
      </c>
      <c r="B1019" s="3">
        <f>(B$2+B$2*M1019+B$2*L1019)*(1+K1019)</f>
        <v>918.53190000000006</v>
      </c>
      <c r="C1019" s="3">
        <f>(C$2+C$2*M1019+C$2*L1019)*(1+K1019)</f>
        <v>965.37869999999987</v>
      </c>
      <c r="D1019" s="3">
        <v>9</v>
      </c>
      <c r="E1019" s="3">
        <v>8</v>
      </c>
      <c r="F1019" s="3">
        <v>2</v>
      </c>
      <c r="G1019" s="3">
        <f>SUMIFS($S$2:$S$10,$R$2:$R$10,D1019)</f>
        <v>34</v>
      </c>
      <c r="H1019" s="3">
        <f>SUMIFS($S$2:$S$10,$R$2:$R$10,E1019)</f>
        <v>27</v>
      </c>
      <c r="I1019" s="3">
        <f>SUMIFS($S$2:$S$10,$R$2:$R$10,F1019)</f>
        <v>2</v>
      </c>
      <c r="J1019" s="3">
        <f>SUM(G1019:I1019)</f>
        <v>63</v>
      </c>
      <c r="K1019" s="3">
        <f>SUMIFS($T$2:$T$10,$R$2:$R$10,E1019)</f>
        <v>0.43</v>
      </c>
      <c r="L1019" s="3">
        <f>SUMIFS($V$2:$V$10,$R$2:$R$10,F1019)</f>
        <v>0.02</v>
      </c>
      <c r="M1019" s="3">
        <f>SUMIFS($U$2:$U$10,$R$2:$R$10,D1019)</f>
        <v>0.15</v>
      </c>
    </row>
    <row r="1020" spans="1:13" x14ac:dyDescent="0.25">
      <c r="A1020" s="2">
        <f>(A$2+A$2*K1020+A$2*M1020)*(1+L1020)</f>
        <v>749.20559999999989</v>
      </c>
      <c r="B1020" s="2">
        <f>(B$2+B$2*K1020+B$2*M1020)*(1+L1020)</f>
        <v>871.42769999999996</v>
      </c>
      <c r="C1020" s="2">
        <f>(C$2+C$2*K1020+C$2*M1020)*(1+L1020)</f>
        <v>915.87209999999982</v>
      </c>
      <c r="D1020" s="2">
        <v>9</v>
      </c>
      <c r="E1020" s="2">
        <v>2</v>
      </c>
      <c r="F1020" s="2">
        <v>8</v>
      </c>
      <c r="G1020" s="2">
        <f>SUMIFS($S$2:$S$10,$R$2:$R$10,D1020)</f>
        <v>34</v>
      </c>
      <c r="H1020" s="2">
        <f>SUMIFS($S$2:$S$10,$R$2:$R$10,E1020)</f>
        <v>2</v>
      </c>
      <c r="I1020" s="2">
        <f>SUMIFS($S$2:$S$10,$R$2:$R$10,F1020)</f>
        <v>27</v>
      </c>
      <c r="J1020" s="2">
        <f>SUM(G1020:I1020)</f>
        <v>63</v>
      </c>
      <c r="K1020" s="2">
        <f>SUMIFS($U$2:$U$10,$R$2:$R$10,E1020)</f>
        <v>0.02</v>
      </c>
      <c r="L1020" s="2">
        <f>SUMIFS($T$2:$T$10,$R$2:$R$10,F1020)</f>
        <v>0.43</v>
      </c>
      <c r="M1020" s="2">
        <f>SUMIFS($V$2:$V$10,$R$2:$R$10,D1020)</f>
        <v>0.09</v>
      </c>
    </row>
    <row r="1021" spans="1:13" x14ac:dyDescent="0.25">
      <c r="A1021" s="2">
        <f>(A$2+A$2*K1021+A$2*M1021)*(1+L1021)</f>
        <v>667.97439999999995</v>
      </c>
      <c r="B1021" s="2">
        <f>(B$2+B$2*K1021+B$2*M1021)*(1+L1021)</f>
        <v>776.94479999999987</v>
      </c>
      <c r="C1021" s="2">
        <f>(C$2+C$2*K1021+C$2*M1021)*(1+L1021)</f>
        <v>816.57039999999984</v>
      </c>
      <c r="D1021" s="2">
        <v>9</v>
      </c>
      <c r="E1021" s="2">
        <v>8</v>
      </c>
      <c r="F1021" s="2">
        <v>2</v>
      </c>
      <c r="G1021" s="2">
        <f>SUMIFS($S$2:$S$10,$R$2:$R$10,D1021)</f>
        <v>34</v>
      </c>
      <c r="H1021" s="2">
        <f>SUMIFS($S$2:$S$10,$R$2:$R$10,E1021)</f>
        <v>27</v>
      </c>
      <c r="I1021" s="2">
        <f>SUMIFS($S$2:$S$10,$R$2:$R$10,F1021)</f>
        <v>2</v>
      </c>
      <c r="J1021" s="2">
        <f>SUM(G1021:I1021)</f>
        <v>63</v>
      </c>
      <c r="K1021" s="2">
        <f>SUMIFS($U$2:$U$10,$R$2:$R$10,E1021)</f>
        <v>0.13</v>
      </c>
      <c r="L1021" s="2">
        <f>SUMIFS($T$2:$T$10,$R$2:$R$10,F1021)</f>
        <v>0.16</v>
      </c>
      <c r="M1021" s="2">
        <f>SUMIFS($V$2:$V$10,$R$2:$R$10,D1021)</f>
        <v>0.09</v>
      </c>
    </row>
    <row r="1022" spans="1:13" x14ac:dyDescent="0.25">
      <c r="A1022" s="1">
        <f>(A$2+A$2*K1022+A$2*L1022)*(1+M1022)</f>
        <v>776.20400000000006</v>
      </c>
      <c r="B1022" s="1">
        <f>(B$2+B$2*K1022+B$2*L1022)*(1+M1022)</f>
        <v>902.83050000000003</v>
      </c>
      <c r="C1022" s="1">
        <f>(C$2+C$2*K1022+C$2*L1022)*(1+M1022)</f>
        <v>948.87649999999985</v>
      </c>
      <c r="D1022" s="1">
        <v>8</v>
      </c>
      <c r="E1022" s="1">
        <v>5</v>
      </c>
      <c r="F1022" s="1">
        <v>8</v>
      </c>
      <c r="G1022" s="1">
        <f>SUMIFS($S$2:$S$10,$R$2:$R$10,D1022)</f>
        <v>27</v>
      </c>
      <c r="H1022" s="1">
        <f>SUMIFS($S$2:$S$10,$R$2:$R$10,E1022)</f>
        <v>10</v>
      </c>
      <c r="I1022" s="1">
        <f>SUMIFS($S$2:$S$10,$R$2:$R$10,F1022)</f>
        <v>27</v>
      </c>
      <c r="J1022" s="1">
        <f>SUM(G1022:I1022)</f>
        <v>64</v>
      </c>
      <c r="K1022" s="1">
        <f>SUMIFS($U$2:$U$10,$R$2:$R$10,E1022)</f>
        <v>7.0000000000000007E-2</v>
      </c>
      <c r="L1022" s="1">
        <f>SUMIFS($V$2:$V$10,$R$2:$R$10,F1022)</f>
        <v>0.08</v>
      </c>
      <c r="M1022" s="1">
        <f>SUMIFS($T$2:$T$10,$R$2:$R$10,D1022)</f>
        <v>0.43</v>
      </c>
    </row>
    <row r="1023" spans="1:13" x14ac:dyDescent="0.25">
      <c r="A1023" s="1">
        <f>(A$2+A$2*K1023+A$2*L1023)*(1+M1023)</f>
        <v>796.45280000000002</v>
      </c>
      <c r="B1023" s="1">
        <f>(B$2+B$2*K1023+B$2*L1023)*(1+M1023)</f>
        <v>926.38260000000002</v>
      </c>
      <c r="C1023" s="1">
        <f>(C$2+C$2*K1023+C$2*L1023)*(1+M1023)</f>
        <v>973.62979999999993</v>
      </c>
      <c r="D1023" s="1">
        <v>8</v>
      </c>
      <c r="E1023" s="1">
        <v>8</v>
      </c>
      <c r="F1023" s="1">
        <v>5</v>
      </c>
      <c r="G1023" s="1">
        <f>SUMIFS($S$2:$S$10,$R$2:$R$10,D1023)</f>
        <v>27</v>
      </c>
      <c r="H1023" s="1">
        <f>SUMIFS($S$2:$S$10,$R$2:$R$10,E1023)</f>
        <v>27</v>
      </c>
      <c r="I1023" s="1">
        <f>SUMIFS($S$2:$S$10,$R$2:$R$10,F1023)</f>
        <v>10</v>
      </c>
      <c r="J1023" s="1">
        <f>SUM(G1023:I1023)</f>
        <v>64</v>
      </c>
      <c r="K1023" s="1">
        <f>SUMIFS($U$2:$U$10,$R$2:$R$10,E1023)</f>
        <v>0.13</v>
      </c>
      <c r="L1023" s="1">
        <f>SUMIFS($V$2:$V$10,$R$2:$R$10,F1023)</f>
        <v>0.05</v>
      </c>
      <c r="M1023" s="1">
        <f>SUMIFS($T$2:$T$10,$R$2:$R$10,D1023)</f>
        <v>0.43</v>
      </c>
    </row>
    <row r="1024" spans="1:13" x14ac:dyDescent="0.25">
      <c r="A1024" s="1">
        <f>(A$2+A$2*K1024+A$2*L1024)*(1+M1024)</f>
        <v>801.7392000000001</v>
      </c>
      <c r="B1024" s="1">
        <f>(B$2+B$2*K1024+B$2*L1024)*(1+M1024)</f>
        <v>932.53140000000019</v>
      </c>
      <c r="C1024" s="1">
        <f>(C$2+C$2*K1024+C$2*L1024)*(1+M1024)</f>
        <v>980.09219999999993</v>
      </c>
      <c r="D1024" s="1">
        <v>9</v>
      </c>
      <c r="E1024" s="1">
        <v>5</v>
      </c>
      <c r="F1024" s="1">
        <v>7</v>
      </c>
      <c r="G1024" s="1">
        <f>SUMIFS($S$2:$S$10,$R$2:$R$10,D1024)</f>
        <v>34</v>
      </c>
      <c r="H1024" s="1">
        <f>SUMIFS($S$2:$S$10,$R$2:$R$10,E1024)</f>
        <v>10</v>
      </c>
      <c r="I1024" s="1">
        <f>SUMIFS($S$2:$S$10,$R$2:$R$10,F1024)</f>
        <v>20</v>
      </c>
      <c r="J1024" s="1">
        <f>SUM(G1024:I1024)</f>
        <v>64</v>
      </c>
      <c r="K1024" s="1">
        <f>SUMIFS($U$2:$U$10,$R$2:$R$10,E1024)</f>
        <v>7.0000000000000007E-2</v>
      </c>
      <c r="L1024" s="1">
        <f>SUMIFS($V$2:$V$10,$R$2:$R$10,F1024)</f>
        <v>7.0000000000000007E-2</v>
      </c>
      <c r="M1024" s="1">
        <f>SUMIFS($T$2:$T$10,$R$2:$R$10,D1024)</f>
        <v>0.49</v>
      </c>
    </row>
    <row r="1025" spans="1:13" x14ac:dyDescent="0.25">
      <c r="A1025" s="1">
        <f>(A$2+A$2*K1025+A$2*L1025)*(1+M1025)</f>
        <v>808.77200000000005</v>
      </c>
      <c r="B1025" s="1">
        <f>(B$2+B$2*K1025+B$2*L1025)*(1+M1025)</f>
        <v>940.71149999999989</v>
      </c>
      <c r="C1025" s="1">
        <f>(C$2+C$2*K1025+C$2*L1025)*(1+M1025)</f>
        <v>988.68949999999995</v>
      </c>
      <c r="D1025" s="1">
        <v>9</v>
      </c>
      <c r="E1025" s="1">
        <v>6</v>
      </c>
      <c r="F1025" s="1">
        <v>6</v>
      </c>
      <c r="G1025" s="1">
        <f>SUMIFS($S$2:$S$10,$R$2:$R$10,D1025)</f>
        <v>34</v>
      </c>
      <c r="H1025" s="1">
        <f>SUMIFS($S$2:$S$10,$R$2:$R$10,E1025)</f>
        <v>15</v>
      </c>
      <c r="I1025" s="1">
        <f>SUMIFS($S$2:$S$10,$R$2:$R$10,F1025)</f>
        <v>15</v>
      </c>
      <c r="J1025" s="1">
        <f>SUM(G1025:I1025)</f>
        <v>64</v>
      </c>
      <c r="K1025" s="1">
        <f>SUMIFS($U$2:$U$10,$R$2:$R$10,E1025)</f>
        <v>0.09</v>
      </c>
      <c r="L1025" s="1">
        <f>SUMIFS($V$2:$V$10,$R$2:$R$10,F1025)</f>
        <v>0.06</v>
      </c>
      <c r="M1025" s="1">
        <f>SUMIFS($T$2:$T$10,$R$2:$R$10,D1025)</f>
        <v>0.49</v>
      </c>
    </row>
    <row r="1026" spans="1:13" x14ac:dyDescent="0.25">
      <c r="A1026" s="1">
        <f>(A$2+A$2*K1026+A$2*L1026)*(1+M1026)</f>
        <v>815.8048</v>
      </c>
      <c r="B1026" s="1">
        <f>(B$2+B$2*K1026+B$2*L1026)*(1+M1026)</f>
        <v>948.89160000000004</v>
      </c>
      <c r="C1026" s="1">
        <f>(C$2+C$2*K1026+C$2*L1026)*(1+M1026)</f>
        <v>997.28680000000008</v>
      </c>
      <c r="D1026" s="1">
        <v>9</v>
      </c>
      <c r="E1026" s="1">
        <v>7</v>
      </c>
      <c r="F1026" s="1">
        <v>5</v>
      </c>
      <c r="G1026" s="1">
        <f>SUMIFS($S$2:$S$10,$R$2:$R$10,D1026)</f>
        <v>34</v>
      </c>
      <c r="H1026" s="1">
        <f>SUMIFS($S$2:$S$10,$R$2:$R$10,E1026)</f>
        <v>20</v>
      </c>
      <c r="I1026" s="1">
        <f>SUMIFS($S$2:$S$10,$R$2:$R$10,F1026)</f>
        <v>10</v>
      </c>
      <c r="J1026" s="1">
        <f>SUM(G1026:I1026)</f>
        <v>64</v>
      </c>
      <c r="K1026" s="1">
        <f>SUMIFS($U$2:$U$10,$R$2:$R$10,E1026)</f>
        <v>0.11</v>
      </c>
      <c r="L1026" s="1">
        <f>SUMIFS($V$2:$V$10,$R$2:$R$10,F1026)</f>
        <v>0.05</v>
      </c>
      <c r="M1026" s="1">
        <f>SUMIFS($T$2:$T$10,$R$2:$R$10,D1026)</f>
        <v>0.49</v>
      </c>
    </row>
    <row r="1027" spans="1:13" x14ac:dyDescent="0.25">
      <c r="A1027" s="3">
        <f>(A$2+A$2*M1027+A$2*L1027)*(1+K1027)</f>
        <v>725.32240000000002</v>
      </c>
      <c r="B1027" s="3">
        <f>(B$2+B$2*M1027+B$2*L1027)*(1+K1027)</f>
        <v>843.64829999999995</v>
      </c>
      <c r="C1027" s="3">
        <f>(C$2+C$2*M1027+C$2*L1027)*(1+K1027)</f>
        <v>886.67589999999996</v>
      </c>
      <c r="D1027" s="3">
        <v>8</v>
      </c>
      <c r="E1027" s="3">
        <v>5</v>
      </c>
      <c r="F1027" s="3">
        <v>8</v>
      </c>
      <c r="G1027" s="3">
        <f>SUMIFS($S$2:$S$10,$R$2:$R$10,D1027)</f>
        <v>27</v>
      </c>
      <c r="H1027" s="3">
        <f>SUMIFS($S$2:$S$10,$R$2:$R$10,E1027)</f>
        <v>10</v>
      </c>
      <c r="I1027" s="3">
        <f>SUMIFS($S$2:$S$10,$R$2:$R$10,F1027)</f>
        <v>27</v>
      </c>
      <c r="J1027" s="3">
        <f>SUM(G1027:I1027)</f>
        <v>64</v>
      </c>
      <c r="K1027" s="3">
        <f>SUMIFS($T$2:$T$10,$R$2:$R$10,E1027)</f>
        <v>0.27</v>
      </c>
      <c r="L1027" s="3">
        <f>SUMIFS($V$2:$V$10,$R$2:$R$10,F1027)</f>
        <v>0.08</v>
      </c>
      <c r="M1027" s="3">
        <f>SUMIFS($U$2:$U$10,$R$2:$R$10,D1027)</f>
        <v>0.13</v>
      </c>
    </row>
    <row r="1028" spans="1:13" x14ac:dyDescent="0.25">
      <c r="A1028" s="3">
        <f>(A$2+A$2*M1028+A$2*L1028)*(1+K1028)</f>
        <v>796.45280000000002</v>
      </c>
      <c r="B1028" s="3">
        <f>(B$2+B$2*M1028+B$2*L1028)*(1+K1028)</f>
        <v>926.38260000000002</v>
      </c>
      <c r="C1028" s="3">
        <f>(C$2+C$2*M1028+C$2*L1028)*(1+K1028)</f>
        <v>973.62979999999993</v>
      </c>
      <c r="D1028" s="3">
        <v>8</v>
      </c>
      <c r="E1028" s="3">
        <v>8</v>
      </c>
      <c r="F1028" s="3">
        <v>5</v>
      </c>
      <c r="G1028" s="3">
        <f>SUMIFS($S$2:$S$10,$R$2:$R$10,D1028)</f>
        <v>27</v>
      </c>
      <c r="H1028" s="3">
        <f>SUMIFS($S$2:$S$10,$R$2:$R$10,E1028)</f>
        <v>27</v>
      </c>
      <c r="I1028" s="3">
        <f>SUMIFS($S$2:$S$10,$R$2:$R$10,F1028)</f>
        <v>10</v>
      </c>
      <c r="J1028" s="3">
        <f>SUM(G1028:I1028)</f>
        <v>64</v>
      </c>
      <c r="K1028" s="3">
        <f>SUMIFS($T$2:$T$10,$R$2:$R$10,E1028)</f>
        <v>0.43</v>
      </c>
      <c r="L1028" s="3">
        <f>SUMIFS($V$2:$V$10,$R$2:$R$10,F1028)</f>
        <v>0.05</v>
      </c>
      <c r="M1028" s="3">
        <f>SUMIFS($U$2:$U$10,$R$2:$R$10,D1028)</f>
        <v>0.13</v>
      </c>
    </row>
    <row r="1029" spans="1:13" x14ac:dyDescent="0.25">
      <c r="A1029" s="3">
        <f>(A$2+A$2*M1029+A$2*L1029)*(1+K1029)</f>
        <v>731.31679999999994</v>
      </c>
      <c r="B1029" s="3">
        <f>(B$2+B$2*M1029+B$2*L1029)*(1+K1029)</f>
        <v>850.62059999999997</v>
      </c>
      <c r="C1029" s="3">
        <f>(C$2+C$2*M1029+C$2*L1029)*(1+K1029)</f>
        <v>894.00379999999996</v>
      </c>
      <c r="D1029" s="3">
        <v>9</v>
      </c>
      <c r="E1029" s="3">
        <v>5</v>
      </c>
      <c r="F1029" s="3">
        <v>7</v>
      </c>
      <c r="G1029" s="3">
        <f>SUMIFS($S$2:$S$10,$R$2:$R$10,D1029)</f>
        <v>34</v>
      </c>
      <c r="H1029" s="3">
        <f>SUMIFS($S$2:$S$10,$R$2:$R$10,E1029)</f>
        <v>10</v>
      </c>
      <c r="I1029" s="3">
        <f>SUMIFS($S$2:$S$10,$R$2:$R$10,F1029)</f>
        <v>20</v>
      </c>
      <c r="J1029" s="3">
        <f>SUM(G1029:I1029)</f>
        <v>64</v>
      </c>
      <c r="K1029" s="3">
        <f>SUMIFS($T$2:$T$10,$R$2:$R$10,E1029)</f>
        <v>0.27</v>
      </c>
      <c r="L1029" s="3">
        <f>SUMIFS($V$2:$V$10,$R$2:$R$10,F1029)</f>
        <v>7.0000000000000007E-2</v>
      </c>
      <c r="M1029" s="3">
        <f>SUMIFS($U$2:$U$10,$R$2:$R$10,D1029)</f>
        <v>0.15</v>
      </c>
    </row>
    <row r="1030" spans="1:13" x14ac:dyDescent="0.25">
      <c r="A1030" s="3">
        <f>(A$2+A$2*M1030+A$2*L1030)*(1+K1030)</f>
        <v>753.87840000000006</v>
      </c>
      <c r="B1030" s="3">
        <f>(B$2+B$2*M1030+B$2*L1030)*(1+K1030)</f>
        <v>876.86279999999999</v>
      </c>
      <c r="C1030" s="3">
        <f>(C$2+C$2*M1030+C$2*L1030)*(1+K1030)</f>
        <v>921.58439999999996</v>
      </c>
      <c r="D1030" s="3">
        <v>9</v>
      </c>
      <c r="E1030" s="3">
        <v>6</v>
      </c>
      <c r="F1030" s="3">
        <v>6</v>
      </c>
      <c r="G1030" s="3">
        <f>SUMIFS($S$2:$S$10,$R$2:$R$10,D1030)</f>
        <v>34</v>
      </c>
      <c r="H1030" s="3">
        <f>SUMIFS($S$2:$S$10,$R$2:$R$10,E1030)</f>
        <v>15</v>
      </c>
      <c r="I1030" s="3">
        <f>SUMIFS($S$2:$S$10,$R$2:$R$10,F1030)</f>
        <v>15</v>
      </c>
      <c r="J1030" s="3">
        <f>SUM(G1030:I1030)</f>
        <v>64</v>
      </c>
      <c r="K1030" s="3">
        <f>SUMIFS($T$2:$T$10,$R$2:$R$10,E1030)</f>
        <v>0.32</v>
      </c>
      <c r="L1030" s="3">
        <f>SUMIFS($V$2:$V$10,$R$2:$R$10,F1030)</f>
        <v>0.06</v>
      </c>
      <c r="M1030" s="3">
        <f>SUMIFS($U$2:$U$10,$R$2:$R$10,D1030)</f>
        <v>0.15</v>
      </c>
    </row>
    <row r="1031" spans="1:13" x14ac:dyDescent="0.25">
      <c r="A1031" s="3">
        <f>(A$2+A$2*M1031+A$2*L1031)*(1+K1031)</f>
        <v>775.96800000000007</v>
      </c>
      <c r="B1031" s="3">
        <f>(B$2+B$2*M1031+B$2*L1031)*(1+K1031)</f>
        <v>902.55600000000015</v>
      </c>
      <c r="C1031" s="3">
        <f>(C$2+C$2*M1031+C$2*L1031)*(1+K1031)</f>
        <v>948.58800000000008</v>
      </c>
      <c r="D1031" s="3">
        <v>9</v>
      </c>
      <c r="E1031" s="3">
        <v>7</v>
      </c>
      <c r="F1031" s="3">
        <v>5</v>
      </c>
      <c r="G1031" s="3">
        <f>SUMIFS($S$2:$S$10,$R$2:$R$10,D1031)</f>
        <v>34</v>
      </c>
      <c r="H1031" s="3">
        <f>SUMIFS($S$2:$S$10,$R$2:$R$10,E1031)</f>
        <v>20</v>
      </c>
      <c r="I1031" s="3">
        <f>SUMIFS($S$2:$S$10,$R$2:$R$10,F1031)</f>
        <v>10</v>
      </c>
      <c r="J1031" s="3">
        <f>SUM(G1031:I1031)</f>
        <v>64</v>
      </c>
      <c r="K1031" s="3">
        <f>SUMIFS($T$2:$T$10,$R$2:$R$10,E1031)</f>
        <v>0.37</v>
      </c>
      <c r="L1031" s="3">
        <f>SUMIFS($V$2:$V$10,$R$2:$R$10,F1031)</f>
        <v>0.05</v>
      </c>
      <c r="M1031" s="3">
        <f>SUMIFS($U$2:$U$10,$R$2:$R$10,D1031)</f>
        <v>0.15</v>
      </c>
    </row>
    <row r="1032" spans="1:13" x14ac:dyDescent="0.25">
      <c r="A1032" s="2">
        <f>(A$2+A$2*K1032+A$2*M1032)*(1+L1032)</f>
        <v>776.20400000000006</v>
      </c>
      <c r="B1032" s="2">
        <f>(B$2+B$2*K1032+B$2*M1032)*(1+L1032)</f>
        <v>902.83050000000003</v>
      </c>
      <c r="C1032" s="2">
        <f>(C$2+C$2*K1032+C$2*M1032)*(1+L1032)</f>
        <v>948.87649999999985</v>
      </c>
      <c r="D1032" s="2">
        <v>8</v>
      </c>
      <c r="E1032" s="2">
        <v>5</v>
      </c>
      <c r="F1032" s="2">
        <v>8</v>
      </c>
      <c r="G1032" s="2">
        <f>SUMIFS($S$2:$S$10,$R$2:$R$10,D1032)</f>
        <v>27</v>
      </c>
      <c r="H1032" s="2">
        <f>SUMIFS($S$2:$S$10,$R$2:$R$10,E1032)</f>
        <v>10</v>
      </c>
      <c r="I1032" s="2">
        <f>SUMIFS($S$2:$S$10,$R$2:$R$10,F1032)</f>
        <v>27</v>
      </c>
      <c r="J1032" s="2">
        <f>SUM(G1032:I1032)</f>
        <v>64</v>
      </c>
      <c r="K1032" s="2">
        <f>SUMIFS($U$2:$U$10,$R$2:$R$10,E1032)</f>
        <v>7.0000000000000007E-2</v>
      </c>
      <c r="L1032" s="2">
        <f>SUMIFS($T$2:$T$10,$R$2:$R$10,F1032)</f>
        <v>0.43</v>
      </c>
      <c r="M1032" s="2">
        <f>SUMIFS($V$2:$V$10,$R$2:$R$10,D1032)</f>
        <v>0.08</v>
      </c>
    </row>
    <row r="1033" spans="1:13" x14ac:dyDescent="0.25">
      <c r="A1033" s="2">
        <f>(A$2+A$2*K1033+A$2*M1033)*(1+L1033)</f>
        <v>725.32240000000002</v>
      </c>
      <c r="B1033" s="2">
        <f>(B$2+B$2*K1033+B$2*M1033)*(1+L1033)</f>
        <v>843.64829999999995</v>
      </c>
      <c r="C1033" s="2">
        <f>(C$2+C$2*K1033+C$2*M1033)*(1+L1033)</f>
        <v>886.67589999999996</v>
      </c>
      <c r="D1033" s="2">
        <v>8</v>
      </c>
      <c r="E1033" s="2">
        <v>8</v>
      </c>
      <c r="F1033" s="2">
        <v>5</v>
      </c>
      <c r="G1033" s="2">
        <f>SUMIFS($S$2:$S$10,$R$2:$R$10,D1033)</f>
        <v>27</v>
      </c>
      <c r="H1033" s="2">
        <f>SUMIFS($S$2:$S$10,$R$2:$R$10,E1033)</f>
        <v>27</v>
      </c>
      <c r="I1033" s="2">
        <f>SUMIFS($S$2:$S$10,$R$2:$R$10,F1033)</f>
        <v>10</v>
      </c>
      <c r="J1033" s="2">
        <f>SUM(G1033:I1033)</f>
        <v>64</v>
      </c>
      <c r="K1033" s="2">
        <f>SUMIFS($U$2:$U$10,$R$2:$R$10,E1033)</f>
        <v>0.13</v>
      </c>
      <c r="L1033" s="2">
        <f>SUMIFS($T$2:$T$10,$R$2:$R$10,F1033)</f>
        <v>0.27</v>
      </c>
      <c r="M1033" s="2">
        <f>SUMIFS($V$2:$V$10,$R$2:$R$10,D1033)</f>
        <v>0.08</v>
      </c>
    </row>
    <row r="1034" spans="1:13" x14ac:dyDescent="0.25">
      <c r="A1034" s="2">
        <f>(A$2+A$2*K1034+A$2*M1034)*(1+L1034)</f>
        <v>750.10239999999999</v>
      </c>
      <c r="B1034" s="2">
        <f>(B$2+B$2*K1034+B$2*M1034)*(1+L1034)</f>
        <v>872.47080000000017</v>
      </c>
      <c r="C1034" s="2">
        <f>(C$2+C$2*K1034+C$2*M1034)*(1+L1034)</f>
        <v>916.96839999999997</v>
      </c>
      <c r="D1034" s="2">
        <v>9</v>
      </c>
      <c r="E1034" s="2">
        <v>5</v>
      </c>
      <c r="F1034" s="2">
        <v>7</v>
      </c>
      <c r="G1034" s="2">
        <f>SUMIFS($S$2:$S$10,$R$2:$R$10,D1034)</f>
        <v>34</v>
      </c>
      <c r="H1034" s="2">
        <f>SUMIFS($S$2:$S$10,$R$2:$R$10,E1034)</f>
        <v>10</v>
      </c>
      <c r="I1034" s="2">
        <f>SUMIFS($S$2:$S$10,$R$2:$R$10,F1034)</f>
        <v>20</v>
      </c>
      <c r="J1034" s="2">
        <f>SUM(G1034:I1034)</f>
        <v>64</v>
      </c>
      <c r="K1034" s="2">
        <f>SUMIFS($U$2:$U$10,$R$2:$R$10,E1034)</f>
        <v>7.0000000000000007E-2</v>
      </c>
      <c r="L1034" s="2">
        <f>SUMIFS($T$2:$T$10,$R$2:$R$10,F1034)</f>
        <v>0.37</v>
      </c>
      <c r="M1034" s="2">
        <f>SUMIFS($V$2:$V$10,$R$2:$R$10,D1034)</f>
        <v>0.09</v>
      </c>
    </row>
    <row r="1035" spans="1:13" x14ac:dyDescent="0.25">
      <c r="A1035" s="2">
        <f>(A$2+A$2*K1035+A$2*M1035)*(1+L1035)</f>
        <v>735.18720000000008</v>
      </c>
      <c r="B1035" s="2">
        <f>(B$2+B$2*K1035+B$2*M1035)*(1+L1035)</f>
        <v>855.12239999999997</v>
      </c>
      <c r="C1035" s="2">
        <f>(C$2+C$2*K1035+C$2*M1035)*(1+L1035)</f>
        <v>898.73519999999996</v>
      </c>
      <c r="D1035" s="2">
        <v>9</v>
      </c>
      <c r="E1035" s="2">
        <v>6</v>
      </c>
      <c r="F1035" s="2">
        <v>6</v>
      </c>
      <c r="G1035" s="2">
        <f>SUMIFS($S$2:$S$10,$R$2:$R$10,D1035)</f>
        <v>34</v>
      </c>
      <c r="H1035" s="2">
        <f>SUMIFS($S$2:$S$10,$R$2:$R$10,E1035)</f>
        <v>15</v>
      </c>
      <c r="I1035" s="2">
        <f>SUMIFS($S$2:$S$10,$R$2:$R$10,F1035)</f>
        <v>15</v>
      </c>
      <c r="J1035" s="2">
        <f>SUM(G1035:I1035)</f>
        <v>64</v>
      </c>
      <c r="K1035" s="2">
        <f>SUMIFS($U$2:$U$10,$R$2:$R$10,E1035)</f>
        <v>0.09</v>
      </c>
      <c r="L1035" s="2">
        <f>SUMIFS($T$2:$T$10,$R$2:$R$10,F1035)</f>
        <v>0.32</v>
      </c>
      <c r="M1035" s="2">
        <f>SUMIFS($V$2:$V$10,$R$2:$R$10,D1035)</f>
        <v>0.09</v>
      </c>
    </row>
    <row r="1036" spans="1:13" x14ac:dyDescent="0.25">
      <c r="A1036" s="2">
        <f>(A$2+A$2*K1036+A$2*M1036)*(1+L1036)</f>
        <v>719.32799999999997</v>
      </c>
      <c r="B1036" s="2">
        <f>(B$2+B$2*K1036+B$2*M1036)*(1+L1036)</f>
        <v>836.67599999999993</v>
      </c>
      <c r="C1036" s="2">
        <f>(C$2+C$2*K1036+C$2*M1036)*(1+L1036)</f>
        <v>879.34799999999996</v>
      </c>
      <c r="D1036" s="2">
        <v>9</v>
      </c>
      <c r="E1036" s="2">
        <v>7</v>
      </c>
      <c r="F1036" s="2">
        <v>5</v>
      </c>
      <c r="G1036" s="2">
        <f>SUMIFS($S$2:$S$10,$R$2:$R$10,D1036)</f>
        <v>34</v>
      </c>
      <c r="H1036" s="2">
        <f>SUMIFS($S$2:$S$10,$R$2:$R$10,E1036)</f>
        <v>20</v>
      </c>
      <c r="I1036" s="2">
        <f>SUMIFS($S$2:$S$10,$R$2:$R$10,F1036)</f>
        <v>10</v>
      </c>
      <c r="J1036" s="2">
        <f>SUM(G1036:I1036)</f>
        <v>64</v>
      </c>
      <c r="K1036" s="2">
        <f>SUMIFS($U$2:$U$10,$R$2:$R$10,E1036)</f>
        <v>0.11</v>
      </c>
      <c r="L1036" s="2">
        <f>SUMIFS($T$2:$T$10,$R$2:$R$10,F1036)</f>
        <v>0.27</v>
      </c>
      <c r="M1036" s="2">
        <f>SUMIFS($V$2:$V$10,$R$2:$R$10,D1036)</f>
        <v>0.09</v>
      </c>
    </row>
    <row r="1037" spans="1:13" x14ac:dyDescent="0.25">
      <c r="A1037" s="1">
        <f>(A$2+A$2*K1037+A$2*L1037)*(1+M1037)</f>
        <v>780.64080000000013</v>
      </c>
      <c r="B1037" s="1">
        <f>(B$2+B$2*K1037+B$2*L1037)*(1+M1037)</f>
        <v>907.99109999999996</v>
      </c>
      <c r="C1037" s="1">
        <f>(C$2+C$2*K1037+C$2*L1037)*(1+M1037)</f>
        <v>954.30029999999988</v>
      </c>
      <c r="D1037" s="1">
        <v>9</v>
      </c>
      <c r="E1037" s="1">
        <v>3</v>
      </c>
      <c r="F1037" s="1">
        <v>8</v>
      </c>
      <c r="G1037" s="1">
        <f>SUMIFS($S$2:$S$10,$R$2:$R$10,D1037)</f>
        <v>34</v>
      </c>
      <c r="H1037" s="1">
        <f>SUMIFS($S$2:$S$10,$R$2:$R$10,E1037)</f>
        <v>4</v>
      </c>
      <c r="I1037" s="1">
        <f>SUMIFS($S$2:$S$10,$R$2:$R$10,F1037)</f>
        <v>27</v>
      </c>
      <c r="J1037" s="1">
        <f>SUM(G1037:I1037)</f>
        <v>65</v>
      </c>
      <c r="K1037" s="1">
        <f>SUMIFS($U$2:$U$10,$R$2:$R$10,E1037)</f>
        <v>0.03</v>
      </c>
      <c r="L1037" s="1">
        <f>SUMIFS($V$2:$V$10,$R$2:$R$10,F1037)</f>
        <v>0.08</v>
      </c>
      <c r="M1037" s="1">
        <f>SUMIFS($T$2:$T$10,$R$2:$R$10,D1037)</f>
        <v>0.49</v>
      </c>
    </row>
    <row r="1038" spans="1:13" x14ac:dyDescent="0.25">
      <c r="A1038" s="1">
        <f>(A$2+A$2*K1038+A$2*L1038)*(1+M1038)</f>
        <v>815.8048</v>
      </c>
      <c r="B1038" s="1">
        <f>(B$2+B$2*K1038+B$2*L1038)*(1+M1038)</f>
        <v>948.89160000000004</v>
      </c>
      <c r="C1038" s="1">
        <f>(C$2+C$2*K1038+C$2*L1038)*(1+M1038)</f>
        <v>997.28679999999986</v>
      </c>
      <c r="D1038" s="1">
        <v>9</v>
      </c>
      <c r="E1038" s="1">
        <v>8</v>
      </c>
      <c r="F1038" s="1">
        <v>3</v>
      </c>
      <c r="G1038" s="1">
        <f>SUMIFS($S$2:$S$10,$R$2:$R$10,D1038)</f>
        <v>34</v>
      </c>
      <c r="H1038" s="1">
        <f>SUMIFS($S$2:$S$10,$R$2:$R$10,E1038)</f>
        <v>27</v>
      </c>
      <c r="I1038" s="1">
        <f>SUMIFS($S$2:$S$10,$R$2:$R$10,F1038)</f>
        <v>4</v>
      </c>
      <c r="J1038" s="1">
        <f>SUM(G1038:I1038)</f>
        <v>65</v>
      </c>
      <c r="K1038" s="1">
        <f>SUMIFS($U$2:$U$10,$R$2:$R$10,E1038)</f>
        <v>0.13</v>
      </c>
      <c r="L1038" s="1">
        <f>SUMIFS($V$2:$V$10,$R$2:$R$10,F1038)</f>
        <v>0.03</v>
      </c>
      <c r="M1038" s="1">
        <f>SUMIFS($T$2:$T$10,$R$2:$R$10,D1038)</f>
        <v>0.49</v>
      </c>
    </row>
    <row r="1039" spans="1:13" x14ac:dyDescent="0.25">
      <c r="A1039" s="3">
        <f>(A$2+A$2*M1039+A$2*L1039)*(1+K1039)</f>
        <v>690.86639999999989</v>
      </c>
      <c r="B1039" s="3">
        <f>(B$2+B$2*M1039+B$2*L1039)*(1+K1039)</f>
        <v>803.57129999999995</v>
      </c>
      <c r="C1039" s="3">
        <f>(C$2+C$2*M1039+C$2*L1039)*(1+K1039)</f>
        <v>844.55489999999986</v>
      </c>
      <c r="D1039" s="3">
        <v>9</v>
      </c>
      <c r="E1039" s="3">
        <v>3</v>
      </c>
      <c r="F1039" s="3">
        <v>8</v>
      </c>
      <c r="G1039" s="3">
        <f>SUMIFS($S$2:$S$10,$R$2:$R$10,D1039)</f>
        <v>34</v>
      </c>
      <c r="H1039" s="3">
        <f>SUMIFS($S$2:$S$10,$R$2:$R$10,E1039)</f>
        <v>4</v>
      </c>
      <c r="I1039" s="3">
        <f>SUMIFS($S$2:$S$10,$R$2:$R$10,F1039)</f>
        <v>27</v>
      </c>
      <c r="J1039" s="3">
        <f>SUM(G1039:I1039)</f>
        <v>65</v>
      </c>
      <c r="K1039" s="3">
        <f>SUMIFS($T$2:$T$10,$R$2:$R$10,E1039)</f>
        <v>0.19</v>
      </c>
      <c r="L1039" s="3">
        <f>SUMIFS($V$2:$V$10,$R$2:$R$10,F1039)</f>
        <v>0.08</v>
      </c>
      <c r="M1039" s="3">
        <f>SUMIFS($U$2:$U$10,$R$2:$R$10,D1039)</f>
        <v>0.15</v>
      </c>
    </row>
    <row r="1040" spans="1:13" x14ac:dyDescent="0.25">
      <c r="A1040" s="3">
        <f>(A$2+A$2*M1040+A$2*L1040)*(1+K1040)</f>
        <v>796.45279999999991</v>
      </c>
      <c r="B1040" s="3">
        <f>(B$2+B$2*M1040+B$2*L1040)*(1+K1040)</f>
        <v>926.38260000000002</v>
      </c>
      <c r="C1040" s="3">
        <f>(C$2+C$2*M1040+C$2*L1040)*(1+K1040)</f>
        <v>973.62979999999982</v>
      </c>
      <c r="D1040" s="3">
        <v>9</v>
      </c>
      <c r="E1040" s="3">
        <v>8</v>
      </c>
      <c r="F1040" s="3">
        <v>3</v>
      </c>
      <c r="G1040" s="3">
        <f>SUMIFS($S$2:$S$10,$R$2:$R$10,D1040)</f>
        <v>34</v>
      </c>
      <c r="H1040" s="3">
        <f>SUMIFS($S$2:$S$10,$R$2:$R$10,E1040)</f>
        <v>27</v>
      </c>
      <c r="I1040" s="3">
        <f>SUMIFS($S$2:$S$10,$R$2:$R$10,F1040)</f>
        <v>4</v>
      </c>
      <c r="J1040" s="3">
        <f>SUM(G1040:I1040)</f>
        <v>65</v>
      </c>
      <c r="K1040" s="3">
        <f>SUMIFS($T$2:$T$10,$R$2:$R$10,E1040)</f>
        <v>0.43</v>
      </c>
      <c r="L1040" s="3">
        <f>SUMIFS($V$2:$V$10,$R$2:$R$10,F1040)</f>
        <v>0.03</v>
      </c>
      <c r="M1040" s="3">
        <f>SUMIFS($U$2:$U$10,$R$2:$R$10,D1040)</f>
        <v>0.15</v>
      </c>
    </row>
    <row r="1041" spans="1:13" x14ac:dyDescent="0.25">
      <c r="A1041" s="2">
        <f>(A$2+A$2*K1041+A$2*M1041)*(1+L1041)</f>
        <v>755.95519999999999</v>
      </c>
      <c r="B1041" s="2">
        <f>(B$2+B$2*K1041+B$2*M1041)*(1+L1041)</f>
        <v>879.27839999999992</v>
      </c>
      <c r="C1041" s="2">
        <f>(C$2+C$2*K1041+C$2*M1041)*(1+L1041)</f>
        <v>924.12319999999977</v>
      </c>
      <c r="D1041" s="2">
        <v>9</v>
      </c>
      <c r="E1041" s="2">
        <v>3</v>
      </c>
      <c r="F1041" s="2">
        <v>8</v>
      </c>
      <c r="G1041" s="2">
        <f>SUMIFS($S$2:$S$10,$R$2:$R$10,D1041)</f>
        <v>34</v>
      </c>
      <c r="H1041" s="2">
        <f>SUMIFS($S$2:$S$10,$R$2:$R$10,E1041)</f>
        <v>4</v>
      </c>
      <c r="I1041" s="2">
        <f>SUMIFS($S$2:$S$10,$R$2:$R$10,F1041)</f>
        <v>27</v>
      </c>
      <c r="J1041" s="2">
        <f>SUM(G1041:I1041)</f>
        <v>65</v>
      </c>
      <c r="K1041" s="2">
        <f>SUMIFS($U$2:$U$10,$R$2:$R$10,E1041)</f>
        <v>0.03</v>
      </c>
      <c r="L1041" s="2">
        <f>SUMIFS($T$2:$T$10,$R$2:$R$10,F1041)</f>
        <v>0.43</v>
      </c>
      <c r="M1041" s="2">
        <f>SUMIFS($V$2:$V$10,$R$2:$R$10,D1041)</f>
        <v>0.09</v>
      </c>
    </row>
    <row r="1042" spans="1:13" x14ac:dyDescent="0.25">
      <c r="A1042" s="2">
        <f>(A$2+A$2*K1042+A$2*M1042)*(1+L1042)</f>
        <v>685.24959999999999</v>
      </c>
      <c r="B1042" s="2">
        <f>(B$2+B$2*K1042+B$2*M1042)*(1+L1042)</f>
        <v>797.03819999999996</v>
      </c>
      <c r="C1042" s="2">
        <f>(C$2+C$2*K1042+C$2*M1042)*(1+L1042)</f>
        <v>837.68859999999984</v>
      </c>
      <c r="D1042" s="2">
        <v>9</v>
      </c>
      <c r="E1042" s="2">
        <v>8</v>
      </c>
      <c r="F1042" s="2">
        <v>3</v>
      </c>
      <c r="G1042" s="2">
        <f>SUMIFS($S$2:$S$10,$R$2:$R$10,D1042)</f>
        <v>34</v>
      </c>
      <c r="H1042" s="2">
        <f>SUMIFS($S$2:$S$10,$R$2:$R$10,E1042)</f>
        <v>27</v>
      </c>
      <c r="I1042" s="2">
        <f>SUMIFS($S$2:$S$10,$R$2:$R$10,F1042)</f>
        <v>4</v>
      </c>
      <c r="J1042" s="2">
        <f>SUM(G1042:I1042)</f>
        <v>65</v>
      </c>
      <c r="K1042" s="2">
        <f>SUMIFS($U$2:$U$10,$R$2:$R$10,E1042)</f>
        <v>0.13</v>
      </c>
      <c r="L1042" s="2">
        <f>SUMIFS($T$2:$T$10,$R$2:$R$10,F1042)</f>
        <v>0.19</v>
      </c>
      <c r="M1042" s="2">
        <f>SUMIFS($V$2:$V$10,$R$2:$R$10,D1042)</f>
        <v>0.09</v>
      </c>
    </row>
    <row r="1043" spans="1:13" x14ac:dyDescent="0.25">
      <c r="A1043" s="1">
        <f>(A$2+A$2*K1043+A$2*L1043)*(1+M1043)</f>
        <v>796.45279999999991</v>
      </c>
      <c r="B1043" s="1">
        <f>(B$2+B$2*K1043+B$2*L1043)*(1+M1043)</f>
        <v>926.38259999999991</v>
      </c>
      <c r="C1043" s="1">
        <f>(C$2+C$2*K1043+C$2*L1043)*(1+M1043)</f>
        <v>973.62979999999993</v>
      </c>
      <c r="D1043" s="1">
        <v>8</v>
      </c>
      <c r="E1043" s="1">
        <v>7</v>
      </c>
      <c r="F1043" s="1">
        <v>7</v>
      </c>
      <c r="G1043" s="1">
        <f>SUMIFS($S$2:$S$10,$R$2:$R$10,D1043)</f>
        <v>27</v>
      </c>
      <c r="H1043" s="1">
        <f>SUMIFS($S$2:$S$10,$R$2:$R$10,E1043)</f>
        <v>20</v>
      </c>
      <c r="I1043" s="1">
        <f>SUMIFS($S$2:$S$10,$R$2:$R$10,F1043)</f>
        <v>20</v>
      </c>
      <c r="J1043" s="1">
        <f>SUM(G1043:I1043)</f>
        <v>67</v>
      </c>
      <c r="K1043" s="1">
        <f>SUMIFS($U$2:$U$10,$R$2:$R$10,E1043)</f>
        <v>0.11</v>
      </c>
      <c r="L1043" s="1">
        <f>SUMIFS($V$2:$V$10,$R$2:$R$10,F1043)</f>
        <v>7.0000000000000007E-2</v>
      </c>
      <c r="M1043" s="1">
        <f>SUMIFS($T$2:$T$10,$R$2:$R$10,D1043)</f>
        <v>0.43</v>
      </c>
    </row>
    <row r="1044" spans="1:13" x14ac:dyDescent="0.25">
      <c r="A1044" s="3">
        <f>(A$2+A$2*M1044+A$2*L1044)*(1+K1044)</f>
        <v>775.96800000000007</v>
      </c>
      <c r="B1044" s="3">
        <f>(B$2+B$2*M1044+B$2*L1044)*(1+K1044)</f>
        <v>902.55600000000004</v>
      </c>
      <c r="C1044" s="3">
        <f>(C$2+C$2*M1044+C$2*L1044)*(1+K1044)</f>
        <v>948.58800000000008</v>
      </c>
      <c r="D1044" s="3">
        <v>8</v>
      </c>
      <c r="E1044" s="3">
        <v>7</v>
      </c>
      <c r="F1044" s="3">
        <v>7</v>
      </c>
      <c r="G1044" s="3">
        <f>SUMIFS($S$2:$S$10,$R$2:$R$10,D1044)</f>
        <v>27</v>
      </c>
      <c r="H1044" s="3">
        <f>SUMIFS($S$2:$S$10,$R$2:$R$10,E1044)</f>
        <v>20</v>
      </c>
      <c r="I1044" s="3">
        <f>SUMIFS($S$2:$S$10,$R$2:$R$10,F1044)</f>
        <v>20</v>
      </c>
      <c r="J1044" s="3">
        <f>SUM(G1044:I1044)</f>
        <v>67</v>
      </c>
      <c r="K1044" s="3">
        <f>SUMIFS($T$2:$T$10,$R$2:$R$10,E1044)</f>
        <v>0.37</v>
      </c>
      <c r="L1044" s="3">
        <f>SUMIFS($V$2:$V$10,$R$2:$R$10,F1044)</f>
        <v>7.0000000000000007E-2</v>
      </c>
      <c r="M1044" s="3">
        <f>SUMIFS($U$2:$U$10,$R$2:$R$10,D1044)</f>
        <v>0.13</v>
      </c>
    </row>
    <row r="1045" spans="1:13" x14ac:dyDescent="0.25">
      <c r="A1045" s="2">
        <f>(A$2+A$2*K1045+A$2*M1045)*(1+L1045)</f>
        <v>769.50159999999994</v>
      </c>
      <c r="B1045" s="2">
        <f>(B$2+B$2*K1045+B$2*M1045)*(1+L1045)</f>
        <v>895.03470000000004</v>
      </c>
      <c r="C1045" s="2">
        <f>(C$2+C$2*K1045+C$2*M1045)*(1+L1045)</f>
        <v>940.68310000000008</v>
      </c>
      <c r="D1045" s="2">
        <v>8</v>
      </c>
      <c r="E1045" s="2">
        <v>7</v>
      </c>
      <c r="F1045" s="2">
        <v>7</v>
      </c>
      <c r="G1045" s="2">
        <f>SUMIFS($S$2:$S$10,$R$2:$R$10,D1045)</f>
        <v>27</v>
      </c>
      <c r="H1045" s="2">
        <f>SUMIFS($S$2:$S$10,$R$2:$R$10,E1045)</f>
        <v>20</v>
      </c>
      <c r="I1045" s="2">
        <f>SUMIFS($S$2:$S$10,$R$2:$R$10,F1045)</f>
        <v>20</v>
      </c>
      <c r="J1045" s="2">
        <f>SUM(G1045:I1045)</f>
        <v>67</v>
      </c>
      <c r="K1045" s="2">
        <f>SUMIFS($U$2:$U$10,$R$2:$R$10,E1045)</f>
        <v>0.11</v>
      </c>
      <c r="L1045" s="2">
        <f>SUMIFS($T$2:$T$10,$R$2:$R$10,F1045)</f>
        <v>0.37</v>
      </c>
      <c r="M1045" s="2">
        <f>SUMIFS($V$2:$V$10,$R$2:$R$10,D1045)</f>
        <v>0.08</v>
      </c>
    </row>
    <row r="1046" spans="1:13" x14ac:dyDescent="0.25">
      <c r="A1046" s="1">
        <f>(A$2+A$2*K1046+A$2*L1046)*(1+M1046)</f>
        <v>766.5752</v>
      </c>
      <c r="B1046" s="1">
        <f>(B$2+B$2*K1046+B$2*L1046)*(1+M1046)</f>
        <v>891.6309</v>
      </c>
      <c r="C1046" s="1">
        <f>(C$2+C$2*K1046+C$2*L1046)*(1+M1046)</f>
        <v>937.10569999999996</v>
      </c>
      <c r="D1046" s="1">
        <v>9</v>
      </c>
      <c r="E1046" s="1">
        <v>0</v>
      </c>
      <c r="F1046" s="1">
        <v>9</v>
      </c>
      <c r="G1046" s="1">
        <f>SUMIFS($S$2:$S$10,$R$2:$R$10,D1046)</f>
        <v>34</v>
      </c>
      <c r="H1046" s="1">
        <f>SUMIFS($S$2:$S$10,$R$2:$R$10,E1046)</f>
        <v>0</v>
      </c>
      <c r="I1046" s="1">
        <f>SUMIFS($S$2:$S$10,$R$2:$R$10,F1046)</f>
        <v>34</v>
      </c>
      <c r="J1046" s="1">
        <f>SUM(G1046:I1046)</f>
        <v>68</v>
      </c>
      <c r="K1046" s="1">
        <f>SUMIFS($U$2:$U$10,$R$2:$R$10,E1046)</f>
        <v>0</v>
      </c>
      <c r="L1046" s="1">
        <f>SUMIFS($V$2:$V$10,$R$2:$R$10,F1046)</f>
        <v>0.09</v>
      </c>
      <c r="M1046" s="1">
        <f>SUMIFS($T$2:$T$10,$R$2:$R$10,D1046)</f>
        <v>0.49</v>
      </c>
    </row>
    <row r="1047" spans="1:13" x14ac:dyDescent="0.25">
      <c r="A1047" s="1">
        <f>(A$2+A$2*K1047+A$2*L1047)*(1+M1047)</f>
        <v>794.70640000000003</v>
      </c>
      <c r="B1047" s="1">
        <f>(B$2+B$2*K1047+B$2*L1047)*(1+M1047)</f>
        <v>924.35130000000004</v>
      </c>
      <c r="C1047" s="1">
        <f>(C$2+C$2*K1047+C$2*L1047)*(1+M1047)</f>
        <v>971.49490000000003</v>
      </c>
      <c r="D1047" s="1">
        <v>9</v>
      </c>
      <c r="E1047" s="1">
        <v>4</v>
      </c>
      <c r="F1047" s="1">
        <v>8</v>
      </c>
      <c r="G1047" s="1">
        <f>SUMIFS($S$2:$S$10,$R$2:$R$10,D1047)</f>
        <v>34</v>
      </c>
      <c r="H1047" s="1">
        <f>SUMIFS($S$2:$S$10,$R$2:$R$10,E1047)</f>
        <v>7</v>
      </c>
      <c r="I1047" s="1">
        <f>SUMIFS($S$2:$S$10,$R$2:$R$10,F1047)</f>
        <v>27</v>
      </c>
      <c r="J1047" s="1">
        <f>SUM(G1047:I1047)</f>
        <v>68</v>
      </c>
      <c r="K1047" s="1">
        <f>SUMIFS($U$2:$U$10,$R$2:$R$10,E1047)</f>
        <v>0.05</v>
      </c>
      <c r="L1047" s="1">
        <f>SUMIFS($V$2:$V$10,$R$2:$R$10,F1047)</f>
        <v>0.08</v>
      </c>
      <c r="M1047" s="1">
        <f>SUMIFS($T$2:$T$10,$R$2:$R$10,D1047)</f>
        <v>0.49</v>
      </c>
    </row>
    <row r="1048" spans="1:13" x14ac:dyDescent="0.25">
      <c r="A1048" s="1">
        <f>(A$2+A$2*K1048+A$2*L1048)*(1+M1048)</f>
        <v>822.83759999999995</v>
      </c>
      <c r="B1048" s="1">
        <f>(B$2+B$2*K1048+B$2*L1048)*(1+M1048)</f>
        <v>957.07170000000008</v>
      </c>
      <c r="C1048" s="1">
        <f>(C$2+C$2*K1048+C$2*L1048)*(1+M1048)</f>
        <v>1005.8841</v>
      </c>
      <c r="D1048" s="1">
        <v>9</v>
      </c>
      <c r="E1048" s="1">
        <v>8</v>
      </c>
      <c r="F1048" s="1">
        <v>4</v>
      </c>
      <c r="G1048" s="1">
        <f>SUMIFS($S$2:$S$10,$R$2:$R$10,D1048)</f>
        <v>34</v>
      </c>
      <c r="H1048" s="1">
        <f>SUMIFS($S$2:$S$10,$R$2:$R$10,E1048)</f>
        <v>27</v>
      </c>
      <c r="I1048" s="1">
        <f>SUMIFS($S$2:$S$10,$R$2:$R$10,F1048)</f>
        <v>7</v>
      </c>
      <c r="J1048" s="1">
        <f>SUM(G1048:I1048)</f>
        <v>68</v>
      </c>
      <c r="K1048" s="1">
        <f>SUMIFS($U$2:$U$10,$R$2:$R$10,E1048)</f>
        <v>0.13</v>
      </c>
      <c r="L1048" s="1">
        <f>SUMIFS($V$2:$V$10,$R$2:$R$10,F1048)</f>
        <v>0.04</v>
      </c>
      <c r="M1048" s="1">
        <f>SUMIFS($T$2:$T$10,$R$2:$R$10,D1048)</f>
        <v>0.49</v>
      </c>
    </row>
    <row r="1049" spans="1:13" x14ac:dyDescent="0.25">
      <c r="A1049" s="1">
        <f>(A$2+A$2*K1049+A$2*L1049)*(1+M1049)</f>
        <v>808.77199999999993</v>
      </c>
      <c r="B1049" s="1">
        <f>(B$2+B$2*K1049+B$2*L1049)*(1+M1049)</f>
        <v>940.7115</v>
      </c>
      <c r="C1049" s="1">
        <f>(C$2+C$2*K1049+C$2*L1049)*(1+M1049)</f>
        <v>988.68949999999995</v>
      </c>
      <c r="D1049" s="1">
        <v>9</v>
      </c>
      <c r="E1049" s="1">
        <v>9</v>
      </c>
      <c r="F1049" s="1">
        <v>0</v>
      </c>
      <c r="G1049" s="1">
        <f>SUMIFS($S$2:$S$10,$R$2:$R$10,D1049)</f>
        <v>34</v>
      </c>
      <c r="H1049" s="1">
        <f>SUMIFS($S$2:$S$10,$R$2:$R$10,E1049)</f>
        <v>34</v>
      </c>
      <c r="I1049" s="1">
        <f>SUMIFS($S$2:$S$10,$R$2:$R$10,F1049)</f>
        <v>0</v>
      </c>
      <c r="J1049" s="1">
        <f>SUM(G1049:I1049)</f>
        <v>68</v>
      </c>
      <c r="K1049" s="1">
        <f>SUMIFS($U$2:$U$10,$R$2:$R$10,E1049)</f>
        <v>0.15</v>
      </c>
      <c r="L1049" s="1">
        <f>SUMIFS($V$2:$V$10,$R$2:$R$10,F1049)</f>
        <v>0</v>
      </c>
      <c r="M1049" s="1">
        <f>SUMIFS($T$2:$T$10,$R$2:$R$10,D1049)</f>
        <v>0.49</v>
      </c>
    </row>
    <row r="1050" spans="1:13" x14ac:dyDescent="0.25">
      <c r="A1050" s="3">
        <f>(A$2+A$2*M1050+A$2*L1050)*(1+K1050)</f>
        <v>585.28</v>
      </c>
      <c r="B1050" s="3">
        <f>(B$2+B$2*M1050+B$2*L1050)*(1+K1050)</f>
        <v>680.76</v>
      </c>
      <c r="C1050" s="3">
        <f>(C$2+C$2*M1050+C$2*L1050)*(1+K1050)</f>
        <v>715.4799999999999</v>
      </c>
      <c r="D1050" s="3">
        <v>9</v>
      </c>
      <c r="E1050" s="3">
        <v>0</v>
      </c>
      <c r="F1050" s="3">
        <v>9</v>
      </c>
      <c r="G1050" s="3">
        <f>SUMIFS($S$2:$S$10,$R$2:$R$10,D1050)</f>
        <v>34</v>
      </c>
      <c r="H1050" s="3">
        <f>SUMIFS($S$2:$S$10,$R$2:$R$10,E1050)</f>
        <v>0</v>
      </c>
      <c r="I1050" s="3">
        <f>SUMIFS($S$2:$S$10,$R$2:$R$10,F1050)</f>
        <v>34</v>
      </c>
      <c r="J1050" s="3">
        <f>SUM(G1050:I1050)</f>
        <v>68</v>
      </c>
      <c r="K1050" s="3">
        <f>SUMIFS($T$2:$T$10,$R$2:$R$10,E1050)</f>
        <v>0</v>
      </c>
      <c r="L1050" s="3">
        <f>SUMIFS($V$2:$V$10,$R$2:$R$10,F1050)</f>
        <v>0.09</v>
      </c>
      <c r="M1050" s="3">
        <f>SUMIFS($U$2:$U$10,$R$2:$R$10,D1050)</f>
        <v>0.15</v>
      </c>
    </row>
    <row r="1051" spans="1:13" x14ac:dyDescent="0.25">
      <c r="A1051" s="3">
        <f>(A$2+A$2*M1051+A$2*L1051)*(1+K1051)</f>
        <v>708.28319999999997</v>
      </c>
      <c r="B1051" s="3">
        <f>(B$2+B$2*M1051+B$2*L1051)*(1+K1051)</f>
        <v>823.82939999999996</v>
      </c>
      <c r="C1051" s="3">
        <f>(C$2+C$2*M1051+C$2*L1051)*(1+K1051)</f>
        <v>865.84619999999984</v>
      </c>
      <c r="D1051" s="3">
        <v>9</v>
      </c>
      <c r="E1051" s="3">
        <v>4</v>
      </c>
      <c r="F1051" s="3">
        <v>8</v>
      </c>
      <c r="G1051" s="3">
        <f>SUMIFS($S$2:$S$10,$R$2:$R$10,D1051)</f>
        <v>34</v>
      </c>
      <c r="H1051" s="3">
        <f>SUMIFS($S$2:$S$10,$R$2:$R$10,E1051)</f>
        <v>7</v>
      </c>
      <c r="I1051" s="3">
        <f>SUMIFS($S$2:$S$10,$R$2:$R$10,F1051)</f>
        <v>27</v>
      </c>
      <c r="J1051" s="3">
        <f>SUM(G1051:I1051)</f>
        <v>68</v>
      </c>
      <c r="K1051" s="3">
        <f>SUMIFS($T$2:$T$10,$R$2:$R$10,E1051)</f>
        <v>0.22</v>
      </c>
      <c r="L1051" s="3">
        <f>SUMIFS($V$2:$V$10,$R$2:$R$10,F1051)</f>
        <v>0.08</v>
      </c>
      <c r="M1051" s="3">
        <f>SUMIFS($U$2:$U$10,$R$2:$R$10,D1051)</f>
        <v>0.15</v>
      </c>
    </row>
    <row r="1052" spans="1:13" x14ac:dyDescent="0.25">
      <c r="A1052" s="3">
        <f>(A$2+A$2*M1052+A$2*L1052)*(1+K1052)</f>
        <v>803.2023999999999</v>
      </c>
      <c r="B1052" s="3">
        <f>(B$2+B$2*M1052+B$2*L1052)*(1+K1052)</f>
        <v>934.2333000000001</v>
      </c>
      <c r="C1052" s="3">
        <f>(C$2+C$2*M1052+C$2*L1052)*(1+K1052)</f>
        <v>981.8809</v>
      </c>
      <c r="D1052" s="3">
        <v>9</v>
      </c>
      <c r="E1052" s="3">
        <v>8</v>
      </c>
      <c r="F1052" s="3">
        <v>4</v>
      </c>
      <c r="G1052" s="3">
        <f>SUMIFS($S$2:$S$10,$R$2:$R$10,D1052)</f>
        <v>34</v>
      </c>
      <c r="H1052" s="3">
        <f>SUMIFS($S$2:$S$10,$R$2:$R$10,E1052)</f>
        <v>27</v>
      </c>
      <c r="I1052" s="3">
        <f>SUMIFS($S$2:$S$10,$R$2:$R$10,F1052)</f>
        <v>7</v>
      </c>
      <c r="J1052" s="3">
        <f>SUM(G1052:I1052)</f>
        <v>68</v>
      </c>
      <c r="K1052" s="3">
        <f>SUMIFS($T$2:$T$10,$R$2:$R$10,E1052)</f>
        <v>0.43</v>
      </c>
      <c r="L1052" s="3">
        <f>SUMIFS($V$2:$V$10,$R$2:$R$10,F1052)</f>
        <v>0.04</v>
      </c>
      <c r="M1052" s="3">
        <f>SUMIFS($U$2:$U$10,$R$2:$R$10,D1052)</f>
        <v>0.15</v>
      </c>
    </row>
    <row r="1053" spans="1:13" x14ac:dyDescent="0.25">
      <c r="A1053" s="3">
        <f>(A$2+A$2*M1053+A$2*L1053)*(1+K1053)</f>
        <v>808.77199999999993</v>
      </c>
      <c r="B1053" s="3">
        <f>(B$2+B$2*M1053+B$2*L1053)*(1+K1053)</f>
        <v>940.7115</v>
      </c>
      <c r="C1053" s="3">
        <f>(C$2+C$2*M1053+C$2*L1053)*(1+K1053)</f>
        <v>988.68949999999995</v>
      </c>
      <c r="D1053" s="3">
        <v>9</v>
      </c>
      <c r="E1053" s="3">
        <v>9</v>
      </c>
      <c r="F1053" s="3">
        <v>0</v>
      </c>
      <c r="G1053" s="3">
        <f>SUMIFS($S$2:$S$10,$R$2:$R$10,D1053)</f>
        <v>34</v>
      </c>
      <c r="H1053" s="3">
        <f>SUMIFS($S$2:$S$10,$R$2:$R$10,E1053)</f>
        <v>34</v>
      </c>
      <c r="I1053" s="3">
        <f>SUMIFS($S$2:$S$10,$R$2:$R$10,F1053)</f>
        <v>0</v>
      </c>
      <c r="J1053" s="3">
        <f>SUM(G1053:I1053)</f>
        <v>68</v>
      </c>
      <c r="K1053" s="3">
        <f>SUMIFS($T$2:$T$10,$R$2:$R$10,E1053)</f>
        <v>0.49</v>
      </c>
      <c r="L1053" s="3">
        <f>SUMIFS($V$2:$V$10,$R$2:$R$10,F1053)</f>
        <v>0</v>
      </c>
      <c r="M1053" s="3">
        <f>SUMIFS($U$2:$U$10,$R$2:$R$10,D1053)</f>
        <v>0.15</v>
      </c>
    </row>
    <row r="1054" spans="1:13" x14ac:dyDescent="0.25">
      <c r="A1054" s="2">
        <f>(A$2+A$2*K1054+A$2*M1054)*(1+L1054)</f>
        <v>766.5752</v>
      </c>
      <c r="B1054" s="2">
        <f>(B$2+B$2*K1054+B$2*M1054)*(1+L1054)</f>
        <v>891.6309</v>
      </c>
      <c r="C1054" s="2">
        <f>(C$2+C$2*K1054+C$2*M1054)*(1+L1054)</f>
        <v>937.10569999999996</v>
      </c>
      <c r="D1054" s="2">
        <v>9</v>
      </c>
      <c r="E1054" s="2">
        <v>0</v>
      </c>
      <c r="F1054" s="2">
        <v>9</v>
      </c>
      <c r="G1054" s="2">
        <f>SUMIFS($S$2:$S$10,$R$2:$R$10,D1054)</f>
        <v>34</v>
      </c>
      <c r="H1054" s="2">
        <f>SUMIFS($S$2:$S$10,$R$2:$R$10,E1054)</f>
        <v>0</v>
      </c>
      <c r="I1054" s="2">
        <f>SUMIFS($S$2:$S$10,$R$2:$R$10,F1054)</f>
        <v>34</v>
      </c>
      <c r="J1054" s="2">
        <f>SUM(G1054:I1054)</f>
        <v>68</v>
      </c>
      <c r="K1054" s="2">
        <f>SUMIFS($U$2:$U$10,$R$2:$R$10,E1054)</f>
        <v>0</v>
      </c>
      <c r="L1054" s="2">
        <f>SUMIFS($T$2:$T$10,$R$2:$R$10,F1054)</f>
        <v>0.49</v>
      </c>
      <c r="M1054" s="2">
        <f>SUMIFS($V$2:$V$10,$R$2:$R$10,D1054)</f>
        <v>0.09</v>
      </c>
    </row>
    <row r="1055" spans="1:13" x14ac:dyDescent="0.25">
      <c r="A1055" s="2">
        <f>(A$2+A$2*K1055+A$2*M1055)*(1+L1055)</f>
        <v>769.45440000000008</v>
      </c>
      <c r="B1055" s="2">
        <f>(B$2+B$2*K1055+B$2*M1055)*(1+L1055)</f>
        <v>894.97979999999995</v>
      </c>
      <c r="C1055" s="2">
        <f>(C$2+C$2*K1055+C$2*M1055)*(1+L1055)</f>
        <v>940.6253999999999</v>
      </c>
      <c r="D1055" s="2">
        <v>9</v>
      </c>
      <c r="E1055" s="2">
        <v>4</v>
      </c>
      <c r="F1055" s="2">
        <v>8</v>
      </c>
      <c r="G1055" s="2">
        <f>SUMIFS($S$2:$S$10,$R$2:$R$10,D1055)</f>
        <v>34</v>
      </c>
      <c r="H1055" s="2">
        <f>SUMIFS($S$2:$S$10,$R$2:$R$10,E1055)</f>
        <v>7</v>
      </c>
      <c r="I1055" s="2">
        <f>SUMIFS($S$2:$S$10,$R$2:$R$10,F1055)</f>
        <v>27</v>
      </c>
      <c r="J1055" s="2">
        <f>SUM(G1055:I1055)</f>
        <v>68</v>
      </c>
      <c r="K1055" s="2">
        <f>SUMIFS($U$2:$U$10,$R$2:$R$10,E1055)</f>
        <v>0.05</v>
      </c>
      <c r="L1055" s="2">
        <f>SUMIFS($T$2:$T$10,$R$2:$R$10,F1055)</f>
        <v>0.43</v>
      </c>
      <c r="M1055" s="2">
        <f>SUMIFS($V$2:$V$10,$R$2:$R$10,D1055)</f>
        <v>0.09</v>
      </c>
    </row>
    <row r="1056" spans="1:13" x14ac:dyDescent="0.25">
      <c r="A1056" s="2">
        <f>(A$2+A$2*K1056+A$2*M1056)*(1+L1056)</f>
        <v>702.52480000000003</v>
      </c>
      <c r="B1056" s="2">
        <f>(B$2+B$2*K1056+B$2*M1056)*(1+L1056)</f>
        <v>817.13159999999993</v>
      </c>
      <c r="C1056" s="2">
        <f>(C$2+C$2*K1056+C$2*M1056)*(1+L1056)</f>
        <v>858.80679999999995</v>
      </c>
      <c r="D1056" s="2">
        <v>9</v>
      </c>
      <c r="E1056" s="2">
        <v>8</v>
      </c>
      <c r="F1056" s="2">
        <v>4</v>
      </c>
      <c r="G1056" s="2">
        <f>SUMIFS($S$2:$S$10,$R$2:$R$10,D1056)</f>
        <v>34</v>
      </c>
      <c r="H1056" s="2">
        <f>SUMIFS($S$2:$S$10,$R$2:$R$10,E1056)</f>
        <v>27</v>
      </c>
      <c r="I1056" s="2">
        <f>SUMIFS($S$2:$S$10,$R$2:$R$10,F1056)</f>
        <v>7</v>
      </c>
      <c r="J1056" s="2">
        <f>SUM(G1056:I1056)</f>
        <v>68</v>
      </c>
      <c r="K1056" s="2">
        <f>SUMIFS($U$2:$U$10,$R$2:$R$10,E1056)</f>
        <v>0.13</v>
      </c>
      <c r="L1056" s="2">
        <f>SUMIFS($T$2:$T$10,$R$2:$R$10,F1056)</f>
        <v>0.22</v>
      </c>
      <c r="M1056" s="2">
        <f>SUMIFS($V$2:$V$10,$R$2:$R$10,D1056)</f>
        <v>0.09</v>
      </c>
    </row>
    <row r="1057" spans="1:13" x14ac:dyDescent="0.25">
      <c r="A1057" s="2">
        <f>(A$2+A$2*K1057+A$2*M1057)*(1+L1057)</f>
        <v>585.28</v>
      </c>
      <c r="B1057" s="2">
        <f>(B$2+B$2*K1057+B$2*M1057)*(1+L1057)</f>
        <v>680.76</v>
      </c>
      <c r="C1057" s="2">
        <f>(C$2+C$2*K1057+C$2*M1057)*(1+L1057)</f>
        <v>715.4799999999999</v>
      </c>
      <c r="D1057" s="2">
        <v>9</v>
      </c>
      <c r="E1057" s="2">
        <v>9</v>
      </c>
      <c r="F1057" s="2">
        <v>0</v>
      </c>
      <c r="G1057" s="2">
        <f>SUMIFS($S$2:$S$10,$R$2:$R$10,D1057)</f>
        <v>34</v>
      </c>
      <c r="H1057" s="2">
        <f>SUMIFS($S$2:$S$10,$R$2:$R$10,E1057)</f>
        <v>34</v>
      </c>
      <c r="I1057" s="2">
        <f>SUMIFS($S$2:$S$10,$R$2:$R$10,F1057)</f>
        <v>0</v>
      </c>
      <c r="J1057" s="2">
        <f>SUM(G1057:I1057)</f>
        <v>68</v>
      </c>
      <c r="K1057" s="2">
        <f>SUMIFS($U$2:$U$10,$R$2:$R$10,E1057)</f>
        <v>0.15</v>
      </c>
      <c r="L1057" s="2">
        <f>SUMIFS($T$2:$T$10,$R$2:$R$10,F1057)</f>
        <v>0</v>
      </c>
      <c r="M1057" s="2">
        <f>SUMIFS($V$2:$V$10,$R$2:$R$10,D1057)</f>
        <v>0.09</v>
      </c>
    </row>
    <row r="1058" spans="1:13" x14ac:dyDescent="0.25">
      <c r="A1058" s="1">
        <f>(A$2+A$2*K1058+A$2*L1058)*(1+M1058)</f>
        <v>789.70319999999992</v>
      </c>
      <c r="B1058" s="1">
        <f>(B$2+B$2*K1058+B$2*L1058)*(1+M1058)</f>
        <v>918.53189999999984</v>
      </c>
      <c r="C1058" s="1">
        <f>(C$2+C$2*K1058+C$2*L1058)*(1+M1058)</f>
        <v>965.37869999999987</v>
      </c>
      <c r="D1058" s="1">
        <v>8</v>
      </c>
      <c r="E1058" s="1">
        <v>6</v>
      </c>
      <c r="F1058" s="1">
        <v>8</v>
      </c>
      <c r="G1058" s="1">
        <f>SUMIFS($S$2:$S$10,$R$2:$R$10,D1058)</f>
        <v>27</v>
      </c>
      <c r="H1058" s="1">
        <f>SUMIFS($S$2:$S$10,$R$2:$R$10,E1058)</f>
        <v>15</v>
      </c>
      <c r="I1058" s="1">
        <f>SUMIFS($S$2:$S$10,$R$2:$R$10,F1058)</f>
        <v>27</v>
      </c>
      <c r="J1058" s="1">
        <f>SUM(G1058:I1058)</f>
        <v>69</v>
      </c>
      <c r="K1058" s="1">
        <f>SUMIFS($U$2:$U$10,$R$2:$R$10,E1058)</f>
        <v>0.09</v>
      </c>
      <c r="L1058" s="1">
        <f>SUMIFS($V$2:$V$10,$R$2:$R$10,F1058)</f>
        <v>0.08</v>
      </c>
      <c r="M1058" s="1">
        <f>SUMIFS($T$2:$T$10,$R$2:$R$10,D1058)</f>
        <v>0.43</v>
      </c>
    </row>
    <row r="1059" spans="1:13" x14ac:dyDescent="0.25">
      <c r="A1059" s="1">
        <f>(A$2+A$2*K1059+A$2*L1059)*(1+M1059)</f>
        <v>803.20240000000001</v>
      </c>
      <c r="B1059" s="1">
        <f>(B$2+B$2*K1059+B$2*L1059)*(1+M1059)</f>
        <v>934.23329999999987</v>
      </c>
      <c r="C1059" s="1">
        <f>(C$2+C$2*K1059+C$2*L1059)*(1+M1059)</f>
        <v>981.8809</v>
      </c>
      <c r="D1059" s="1">
        <v>8</v>
      </c>
      <c r="E1059" s="1">
        <v>8</v>
      </c>
      <c r="F1059" s="1">
        <v>6</v>
      </c>
      <c r="G1059" s="1">
        <f>SUMIFS($S$2:$S$10,$R$2:$R$10,D1059)</f>
        <v>27</v>
      </c>
      <c r="H1059" s="1">
        <f>SUMIFS($S$2:$S$10,$R$2:$R$10,E1059)</f>
        <v>27</v>
      </c>
      <c r="I1059" s="1">
        <f>SUMIFS($S$2:$S$10,$R$2:$R$10,F1059)</f>
        <v>15</v>
      </c>
      <c r="J1059" s="1">
        <f>SUM(G1059:I1059)</f>
        <v>69</v>
      </c>
      <c r="K1059" s="1">
        <f>SUMIFS($U$2:$U$10,$R$2:$R$10,E1059)</f>
        <v>0.13</v>
      </c>
      <c r="L1059" s="1">
        <f>SUMIFS($V$2:$V$10,$R$2:$R$10,F1059)</f>
        <v>0.06</v>
      </c>
      <c r="M1059" s="1">
        <f>SUMIFS($T$2:$T$10,$R$2:$R$10,D1059)</f>
        <v>0.43</v>
      </c>
    </row>
    <row r="1060" spans="1:13" x14ac:dyDescent="0.25">
      <c r="A1060" s="1">
        <f>(A$2+A$2*K1060+A$2*L1060)*(1+M1060)</f>
        <v>773.60800000000006</v>
      </c>
      <c r="B1060" s="1">
        <f>(B$2+B$2*K1060+B$2*L1060)*(1+M1060)</f>
        <v>899.81099999999992</v>
      </c>
      <c r="C1060" s="1">
        <f>(C$2+C$2*K1060+C$2*L1060)*(1+M1060)</f>
        <v>945.70299999999986</v>
      </c>
      <c r="D1060" s="1">
        <v>9</v>
      </c>
      <c r="E1060" s="1">
        <v>1</v>
      </c>
      <c r="F1060" s="1">
        <v>9</v>
      </c>
      <c r="G1060" s="1">
        <f>SUMIFS($S$2:$S$10,$R$2:$R$10,D1060)</f>
        <v>34</v>
      </c>
      <c r="H1060" s="1">
        <f>SUMIFS($S$2:$S$10,$R$2:$R$10,E1060)</f>
        <v>1</v>
      </c>
      <c r="I1060" s="1">
        <f>SUMIFS($S$2:$S$10,$R$2:$R$10,F1060)</f>
        <v>34</v>
      </c>
      <c r="J1060" s="1">
        <f>SUM(G1060:I1060)</f>
        <v>69</v>
      </c>
      <c r="K1060" s="1">
        <f>SUMIFS($U$2:$U$10,$R$2:$R$10,E1060)</f>
        <v>0.01</v>
      </c>
      <c r="L1060" s="1">
        <f>SUMIFS($V$2:$V$10,$R$2:$R$10,F1060)</f>
        <v>0.09</v>
      </c>
      <c r="M1060" s="1">
        <f>SUMIFS($T$2:$T$10,$R$2:$R$10,D1060)</f>
        <v>0.49</v>
      </c>
    </row>
    <row r="1061" spans="1:13" x14ac:dyDescent="0.25">
      <c r="A1061" s="1">
        <f>(A$2+A$2*K1061+A$2*L1061)*(1+M1061)</f>
        <v>815.8048</v>
      </c>
      <c r="B1061" s="1">
        <f>(B$2+B$2*K1061+B$2*L1061)*(1+M1061)</f>
        <v>948.89159999999993</v>
      </c>
      <c r="C1061" s="1">
        <f>(C$2+C$2*K1061+C$2*L1061)*(1+M1061)</f>
        <v>997.28679999999986</v>
      </c>
      <c r="D1061" s="1">
        <v>9</v>
      </c>
      <c r="E1061" s="1">
        <v>6</v>
      </c>
      <c r="F1061" s="1">
        <v>7</v>
      </c>
      <c r="G1061" s="1">
        <f>SUMIFS($S$2:$S$10,$R$2:$R$10,D1061)</f>
        <v>34</v>
      </c>
      <c r="H1061" s="1">
        <f>SUMIFS($S$2:$S$10,$R$2:$R$10,E1061)</f>
        <v>15</v>
      </c>
      <c r="I1061" s="1">
        <f>SUMIFS($S$2:$S$10,$R$2:$R$10,F1061)</f>
        <v>20</v>
      </c>
      <c r="J1061" s="1">
        <f>SUM(G1061:I1061)</f>
        <v>69</v>
      </c>
      <c r="K1061" s="1">
        <f>SUMIFS($U$2:$U$10,$R$2:$R$10,E1061)</f>
        <v>0.09</v>
      </c>
      <c r="L1061" s="1">
        <f>SUMIFS($V$2:$V$10,$R$2:$R$10,F1061)</f>
        <v>7.0000000000000007E-2</v>
      </c>
      <c r="M1061" s="1">
        <f>SUMIFS($T$2:$T$10,$R$2:$R$10,D1061)</f>
        <v>0.49</v>
      </c>
    </row>
    <row r="1062" spans="1:13" x14ac:dyDescent="0.25">
      <c r="A1062" s="1">
        <f>(A$2+A$2*K1062+A$2*L1062)*(1+M1062)</f>
        <v>822.83759999999995</v>
      </c>
      <c r="B1062" s="1">
        <f>(B$2+B$2*K1062+B$2*L1062)*(1+M1062)</f>
        <v>957.07169999999985</v>
      </c>
      <c r="C1062" s="1">
        <f>(C$2+C$2*K1062+C$2*L1062)*(1+M1062)</f>
        <v>1005.8841</v>
      </c>
      <c r="D1062" s="1">
        <v>9</v>
      </c>
      <c r="E1062" s="1">
        <v>7</v>
      </c>
      <c r="F1062" s="1">
        <v>6</v>
      </c>
      <c r="G1062" s="1">
        <f>SUMIFS($S$2:$S$10,$R$2:$R$10,D1062)</f>
        <v>34</v>
      </c>
      <c r="H1062" s="1">
        <f>SUMIFS($S$2:$S$10,$R$2:$R$10,E1062)</f>
        <v>20</v>
      </c>
      <c r="I1062" s="1">
        <f>SUMIFS($S$2:$S$10,$R$2:$R$10,F1062)</f>
        <v>15</v>
      </c>
      <c r="J1062" s="1">
        <f>SUM(G1062:I1062)</f>
        <v>69</v>
      </c>
      <c r="K1062" s="1">
        <f>SUMIFS($U$2:$U$10,$R$2:$R$10,E1062)</f>
        <v>0.11</v>
      </c>
      <c r="L1062" s="1">
        <f>SUMIFS($V$2:$V$10,$R$2:$R$10,F1062)</f>
        <v>0.06</v>
      </c>
      <c r="M1062" s="1">
        <f>SUMIFS($T$2:$T$10,$R$2:$R$10,D1062)</f>
        <v>0.49</v>
      </c>
    </row>
    <row r="1063" spans="1:13" x14ac:dyDescent="0.25">
      <c r="A1063" s="1">
        <f>(A$2+A$2*K1063+A$2*L1063)*(1+M1063)</f>
        <v>815.8048</v>
      </c>
      <c r="B1063" s="1">
        <f>(B$2+B$2*K1063+B$2*L1063)*(1+M1063)</f>
        <v>948.89160000000004</v>
      </c>
      <c r="C1063" s="1">
        <f>(C$2+C$2*K1063+C$2*L1063)*(1+M1063)</f>
        <v>997.28679999999986</v>
      </c>
      <c r="D1063" s="1">
        <v>9</v>
      </c>
      <c r="E1063" s="1">
        <v>9</v>
      </c>
      <c r="F1063" s="1">
        <v>1</v>
      </c>
      <c r="G1063" s="1">
        <f>SUMIFS($S$2:$S$10,$R$2:$R$10,D1063)</f>
        <v>34</v>
      </c>
      <c r="H1063" s="1">
        <f>SUMIFS($S$2:$S$10,$R$2:$R$10,E1063)</f>
        <v>34</v>
      </c>
      <c r="I1063" s="1">
        <f>SUMIFS($S$2:$S$10,$R$2:$R$10,F1063)</f>
        <v>1</v>
      </c>
      <c r="J1063" s="1">
        <f>SUM(G1063:I1063)</f>
        <v>69</v>
      </c>
      <c r="K1063" s="1">
        <f>SUMIFS($U$2:$U$10,$R$2:$R$10,E1063)</f>
        <v>0.15</v>
      </c>
      <c r="L1063" s="1">
        <f>SUMIFS($V$2:$V$10,$R$2:$R$10,F1063)</f>
        <v>0.01</v>
      </c>
      <c r="M1063" s="1">
        <f>SUMIFS($T$2:$T$10,$R$2:$R$10,D1063)</f>
        <v>0.49</v>
      </c>
    </row>
    <row r="1064" spans="1:13" x14ac:dyDescent="0.25">
      <c r="A1064" s="3">
        <f>(A$2+A$2*M1064+A$2*L1064)*(1+K1064)</f>
        <v>753.87840000000006</v>
      </c>
      <c r="B1064" s="3">
        <f>(B$2+B$2*M1064+B$2*L1064)*(1+K1064)</f>
        <v>876.86279999999999</v>
      </c>
      <c r="C1064" s="3">
        <f>(C$2+C$2*M1064+C$2*L1064)*(1+K1064)</f>
        <v>921.58439999999996</v>
      </c>
      <c r="D1064" s="3">
        <v>8</v>
      </c>
      <c r="E1064" s="3">
        <v>6</v>
      </c>
      <c r="F1064" s="3">
        <v>8</v>
      </c>
      <c r="G1064" s="3">
        <f>SUMIFS($S$2:$S$10,$R$2:$R$10,D1064)</f>
        <v>27</v>
      </c>
      <c r="H1064" s="3">
        <f>SUMIFS($S$2:$S$10,$R$2:$R$10,E1064)</f>
        <v>15</v>
      </c>
      <c r="I1064" s="3">
        <f>SUMIFS($S$2:$S$10,$R$2:$R$10,F1064)</f>
        <v>27</v>
      </c>
      <c r="J1064" s="3">
        <f>SUM(G1064:I1064)</f>
        <v>69</v>
      </c>
      <c r="K1064" s="3">
        <f>SUMIFS($T$2:$T$10,$R$2:$R$10,E1064)</f>
        <v>0.32</v>
      </c>
      <c r="L1064" s="3">
        <f>SUMIFS($V$2:$V$10,$R$2:$R$10,F1064)</f>
        <v>0.08</v>
      </c>
      <c r="M1064" s="3">
        <f>SUMIFS($U$2:$U$10,$R$2:$R$10,D1064)</f>
        <v>0.13</v>
      </c>
    </row>
    <row r="1065" spans="1:13" x14ac:dyDescent="0.25">
      <c r="A1065" s="3">
        <f>(A$2+A$2*M1065+A$2*L1065)*(1+K1065)</f>
        <v>803.20240000000001</v>
      </c>
      <c r="B1065" s="3">
        <f>(B$2+B$2*M1065+B$2*L1065)*(1+K1065)</f>
        <v>934.23329999999987</v>
      </c>
      <c r="C1065" s="3">
        <f>(C$2+C$2*M1065+C$2*L1065)*(1+K1065)</f>
        <v>981.8809</v>
      </c>
      <c r="D1065" s="3">
        <v>8</v>
      </c>
      <c r="E1065" s="3">
        <v>8</v>
      </c>
      <c r="F1065" s="3">
        <v>6</v>
      </c>
      <c r="G1065" s="3">
        <f>SUMIFS($S$2:$S$10,$R$2:$R$10,D1065)</f>
        <v>27</v>
      </c>
      <c r="H1065" s="3">
        <f>SUMIFS($S$2:$S$10,$R$2:$R$10,E1065)</f>
        <v>27</v>
      </c>
      <c r="I1065" s="3">
        <f>SUMIFS($S$2:$S$10,$R$2:$R$10,F1065)</f>
        <v>15</v>
      </c>
      <c r="J1065" s="3">
        <f>SUM(G1065:I1065)</f>
        <v>69</v>
      </c>
      <c r="K1065" s="3">
        <f>SUMIFS($T$2:$T$10,$R$2:$R$10,E1065)</f>
        <v>0.43</v>
      </c>
      <c r="L1065" s="3">
        <f>SUMIFS($V$2:$V$10,$R$2:$R$10,F1065)</f>
        <v>0.06</v>
      </c>
      <c r="M1065" s="3">
        <f>SUMIFS($U$2:$U$10,$R$2:$R$10,D1065)</f>
        <v>0.13</v>
      </c>
    </row>
    <row r="1066" spans="1:13" x14ac:dyDescent="0.25">
      <c r="A1066" s="3">
        <f>(A$2+A$2*M1066+A$2*L1066)*(1+K1066)</f>
        <v>661.36639999999989</v>
      </c>
      <c r="B1066" s="3">
        <f>(B$2+B$2*M1066+B$2*L1066)*(1+K1066)</f>
        <v>769.25879999999995</v>
      </c>
      <c r="C1066" s="3">
        <f>(C$2+C$2*M1066+C$2*L1066)*(1+K1066)</f>
        <v>808.49239999999986</v>
      </c>
      <c r="D1066" s="3">
        <v>9</v>
      </c>
      <c r="E1066" s="3">
        <v>1</v>
      </c>
      <c r="F1066" s="3">
        <v>9</v>
      </c>
      <c r="G1066" s="3">
        <f>SUMIFS($S$2:$S$10,$R$2:$R$10,D1066)</f>
        <v>34</v>
      </c>
      <c r="H1066" s="3">
        <f>SUMIFS($S$2:$S$10,$R$2:$R$10,E1066)</f>
        <v>1</v>
      </c>
      <c r="I1066" s="3">
        <f>SUMIFS($S$2:$S$10,$R$2:$R$10,F1066)</f>
        <v>34</v>
      </c>
      <c r="J1066" s="3">
        <f>SUM(G1066:I1066)</f>
        <v>69</v>
      </c>
      <c r="K1066" s="3">
        <f>SUMIFS($T$2:$T$10,$R$2:$R$10,E1066)</f>
        <v>0.13</v>
      </c>
      <c r="L1066" s="3">
        <f>SUMIFS($V$2:$V$10,$R$2:$R$10,F1066)</f>
        <v>0.09</v>
      </c>
      <c r="M1066" s="3">
        <f>SUMIFS($U$2:$U$10,$R$2:$R$10,D1066)</f>
        <v>0.15</v>
      </c>
    </row>
    <row r="1067" spans="1:13" x14ac:dyDescent="0.25">
      <c r="A1067" s="3">
        <f>(A$2+A$2*M1067+A$2*L1067)*(1+K1067)</f>
        <v>760.10879999999997</v>
      </c>
      <c r="B1067" s="3">
        <f>(B$2+B$2*M1067+B$2*L1067)*(1+K1067)</f>
        <v>884.1096</v>
      </c>
      <c r="C1067" s="3">
        <f>(C$2+C$2*M1067+C$2*L1067)*(1+K1067)</f>
        <v>929.20079999999996</v>
      </c>
      <c r="D1067" s="3">
        <v>9</v>
      </c>
      <c r="E1067" s="3">
        <v>6</v>
      </c>
      <c r="F1067" s="3">
        <v>7</v>
      </c>
      <c r="G1067" s="3">
        <f>SUMIFS($S$2:$S$10,$R$2:$R$10,D1067)</f>
        <v>34</v>
      </c>
      <c r="H1067" s="3">
        <f>SUMIFS($S$2:$S$10,$R$2:$R$10,E1067)</f>
        <v>15</v>
      </c>
      <c r="I1067" s="3">
        <f>SUMIFS($S$2:$S$10,$R$2:$R$10,F1067)</f>
        <v>20</v>
      </c>
      <c r="J1067" s="3">
        <f>SUM(G1067:I1067)</f>
        <v>69</v>
      </c>
      <c r="K1067" s="3">
        <f>SUMIFS($T$2:$T$10,$R$2:$R$10,E1067)</f>
        <v>0.32</v>
      </c>
      <c r="L1067" s="3">
        <f>SUMIFS($V$2:$V$10,$R$2:$R$10,F1067)</f>
        <v>7.0000000000000007E-2</v>
      </c>
      <c r="M1067" s="3">
        <f>SUMIFS($U$2:$U$10,$R$2:$R$10,D1067)</f>
        <v>0.15</v>
      </c>
    </row>
    <row r="1068" spans="1:13" x14ac:dyDescent="0.25">
      <c r="A1068" s="3">
        <f>(A$2+A$2*M1068+A$2*L1068)*(1+K1068)</f>
        <v>782.4344000000001</v>
      </c>
      <c r="B1068" s="3">
        <f>(B$2+B$2*M1068+B$2*L1068)*(1+K1068)</f>
        <v>910.07730000000004</v>
      </c>
      <c r="C1068" s="3">
        <f>(C$2+C$2*M1068+C$2*L1068)*(1+K1068)</f>
        <v>956.49289999999996</v>
      </c>
      <c r="D1068" s="3">
        <v>9</v>
      </c>
      <c r="E1068" s="3">
        <v>7</v>
      </c>
      <c r="F1068" s="3">
        <v>6</v>
      </c>
      <c r="G1068" s="3">
        <f>SUMIFS($S$2:$S$10,$R$2:$R$10,D1068)</f>
        <v>34</v>
      </c>
      <c r="H1068" s="3">
        <f>SUMIFS($S$2:$S$10,$R$2:$R$10,E1068)</f>
        <v>20</v>
      </c>
      <c r="I1068" s="3">
        <f>SUMIFS($S$2:$S$10,$R$2:$R$10,F1068)</f>
        <v>15</v>
      </c>
      <c r="J1068" s="3">
        <f>SUM(G1068:I1068)</f>
        <v>69</v>
      </c>
      <c r="K1068" s="3">
        <f>SUMIFS($T$2:$T$10,$R$2:$R$10,E1068)</f>
        <v>0.37</v>
      </c>
      <c r="L1068" s="3">
        <f>SUMIFS($V$2:$V$10,$R$2:$R$10,F1068)</f>
        <v>0.06</v>
      </c>
      <c r="M1068" s="3">
        <f>SUMIFS($U$2:$U$10,$R$2:$R$10,D1068)</f>
        <v>0.15</v>
      </c>
    </row>
    <row r="1069" spans="1:13" x14ac:dyDescent="0.25">
      <c r="A1069" s="3">
        <f>(A$2+A$2*M1069+A$2*L1069)*(1+K1069)</f>
        <v>815.8048</v>
      </c>
      <c r="B1069" s="3">
        <f>(B$2+B$2*M1069+B$2*L1069)*(1+K1069)</f>
        <v>948.89160000000004</v>
      </c>
      <c r="C1069" s="3">
        <f>(C$2+C$2*M1069+C$2*L1069)*(1+K1069)</f>
        <v>997.28679999999986</v>
      </c>
      <c r="D1069" s="3">
        <v>9</v>
      </c>
      <c r="E1069" s="3">
        <v>9</v>
      </c>
      <c r="F1069" s="3">
        <v>1</v>
      </c>
      <c r="G1069" s="3">
        <f>SUMIFS($S$2:$S$10,$R$2:$R$10,D1069)</f>
        <v>34</v>
      </c>
      <c r="H1069" s="3">
        <f>SUMIFS($S$2:$S$10,$R$2:$R$10,E1069)</f>
        <v>34</v>
      </c>
      <c r="I1069" s="3">
        <f>SUMIFS($S$2:$S$10,$R$2:$R$10,F1069)</f>
        <v>1</v>
      </c>
      <c r="J1069" s="3">
        <f>SUM(G1069:I1069)</f>
        <v>69</v>
      </c>
      <c r="K1069" s="3">
        <f>SUMIFS($T$2:$T$10,$R$2:$R$10,E1069)</f>
        <v>0.49</v>
      </c>
      <c r="L1069" s="3">
        <f>SUMIFS($V$2:$V$10,$R$2:$R$10,F1069)</f>
        <v>0.01</v>
      </c>
      <c r="M1069" s="3">
        <f>SUMIFS($U$2:$U$10,$R$2:$R$10,D1069)</f>
        <v>0.15</v>
      </c>
    </row>
    <row r="1070" spans="1:13" x14ac:dyDescent="0.25">
      <c r="A1070" s="2">
        <f>(A$2+A$2*K1070+A$2*M1070)*(1+L1070)</f>
        <v>789.70319999999992</v>
      </c>
      <c r="B1070" s="2">
        <f>(B$2+B$2*K1070+B$2*M1070)*(1+L1070)</f>
        <v>918.53189999999984</v>
      </c>
      <c r="C1070" s="2">
        <f>(C$2+C$2*K1070+C$2*M1070)*(1+L1070)</f>
        <v>965.37869999999987</v>
      </c>
      <c r="D1070" s="2">
        <v>8</v>
      </c>
      <c r="E1070" s="2">
        <v>6</v>
      </c>
      <c r="F1070" s="2">
        <v>8</v>
      </c>
      <c r="G1070" s="2">
        <f>SUMIFS($S$2:$S$10,$R$2:$R$10,D1070)</f>
        <v>27</v>
      </c>
      <c r="H1070" s="2">
        <f>SUMIFS($S$2:$S$10,$R$2:$R$10,E1070)</f>
        <v>15</v>
      </c>
      <c r="I1070" s="2">
        <f>SUMIFS($S$2:$S$10,$R$2:$R$10,F1070)</f>
        <v>27</v>
      </c>
      <c r="J1070" s="2">
        <f>SUM(G1070:I1070)</f>
        <v>69</v>
      </c>
      <c r="K1070" s="2">
        <f>SUMIFS($U$2:$U$10,$R$2:$R$10,E1070)</f>
        <v>0.09</v>
      </c>
      <c r="L1070" s="2">
        <f>SUMIFS($T$2:$T$10,$R$2:$R$10,F1070)</f>
        <v>0.43</v>
      </c>
      <c r="M1070" s="2">
        <f>SUMIFS($V$2:$V$10,$R$2:$R$10,D1070)</f>
        <v>0.08</v>
      </c>
    </row>
    <row r="1071" spans="1:13" x14ac:dyDescent="0.25">
      <c r="A1071" s="2">
        <f>(A$2+A$2*K1071+A$2*M1071)*(1+L1071)</f>
        <v>753.87840000000006</v>
      </c>
      <c r="B1071" s="2">
        <f>(B$2+B$2*K1071+B$2*M1071)*(1+L1071)</f>
        <v>876.86279999999999</v>
      </c>
      <c r="C1071" s="2">
        <f>(C$2+C$2*K1071+C$2*M1071)*(1+L1071)</f>
        <v>921.58439999999996</v>
      </c>
      <c r="D1071" s="2">
        <v>8</v>
      </c>
      <c r="E1071" s="2">
        <v>8</v>
      </c>
      <c r="F1071" s="2">
        <v>6</v>
      </c>
      <c r="G1071" s="2">
        <f>SUMIFS($S$2:$S$10,$R$2:$R$10,D1071)</f>
        <v>27</v>
      </c>
      <c r="H1071" s="2">
        <f>SUMIFS($S$2:$S$10,$R$2:$R$10,E1071)</f>
        <v>27</v>
      </c>
      <c r="I1071" s="2">
        <f>SUMIFS($S$2:$S$10,$R$2:$R$10,F1071)</f>
        <v>15</v>
      </c>
      <c r="J1071" s="2">
        <f>SUM(G1071:I1071)</f>
        <v>69</v>
      </c>
      <c r="K1071" s="2">
        <f>SUMIFS($U$2:$U$10,$R$2:$R$10,E1071)</f>
        <v>0.13</v>
      </c>
      <c r="L1071" s="2">
        <f>SUMIFS($T$2:$T$10,$R$2:$R$10,F1071)</f>
        <v>0.32</v>
      </c>
      <c r="M1071" s="2">
        <f>SUMIFS($V$2:$V$10,$R$2:$R$10,D1071)</f>
        <v>0.08</v>
      </c>
    </row>
    <row r="1072" spans="1:13" x14ac:dyDescent="0.25">
      <c r="A1072" s="2">
        <f>(A$2+A$2*K1072+A$2*M1072)*(1+L1072)</f>
        <v>773.60800000000006</v>
      </c>
      <c r="B1072" s="2">
        <f>(B$2+B$2*K1072+B$2*M1072)*(1+L1072)</f>
        <v>899.81099999999992</v>
      </c>
      <c r="C1072" s="2">
        <f>(C$2+C$2*K1072+C$2*M1072)*(1+L1072)</f>
        <v>945.70299999999986</v>
      </c>
      <c r="D1072" s="2">
        <v>9</v>
      </c>
      <c r="E1072" s="2">
        <v>1</v>
      </c>
      <c r="F1072" s="2">
        <v>9</v>
      </c>
      <c r="G1072" s="2">
        <f>SUMIFS($S$2:$S$10,$R$2:$R$10,D1072)</f>
        <v>34</v>
      </c>
      <c r="H1072" s="2">
        <f>SUMIFS($S$2:$S$10,$R$2:$R$10,E1072)</f>
        <v>1</v>
      </c>
      <c r="I1072" s="2">
        <f>SUMIFS($S$2:$S$10,$R$2:$R$10,F1072)</f>
        <v>34</v>
      </c>
      <c r="J1072" s="2">
        <f>SUM(G1072:I1072)</f>
        <v>69</v>
      </c>
      <c r="K1072" s="2">
        <f>SUMIFS($U$2:$U$10,$R$2:$R$10,E1072)</f>
        <v>0.01</v>
      </c>
      <c r="L1072" s="2">
        <f>SUMIFS($T$2:$T$10,$R$2:$R$10,F1072)</f>
        <v>0.49</v>
      </c>
      <c r="M1072" s="2">
        <f>SUMIFS($V$2:$V$10,$R$2:$R$10,D1072)</f>
        <v>0.09</v>
      </c>
    </row>
    <row r="1073" spans="1:13" x14ac:dyDescent="0.25">
      <c r="A1073" s="2">
        <f>(A$2+A$2*K1073+A$2*M1073)*(1+L1073)</f>
        <v>763.03520000000015</v>
      </c>
      <c r="B1073" s="2">
        <f>(B$2+B$2*K1073+B$2*M1073)*(1+L1073)</f>
        <v>887.51339999999993</v>
      </c>
      <c r="C1073" s="2">
        <f>(C$2+C$2*K1073+C$2*M1073)*(1+L1073)</f>
        <v>932.77819999999997</v>
      </c>
      <c r="D1073" s="2">
        <v>9</v>
      </c>
      <c r="E1073" s="2">
        <v>6</v>
      </c>
      <c r="F1073" s="2">
        <v>7</v>
      </c>
      <c r="G1073" s="2">
        <f>SUMIFS($S$2:$S$10,$R$2:$R$10,D1073)</f>
        <v>34</v>
      </c>
      <c r="H1073" s="2">
        <f>SUMIFS($S$2:$S$10,$R$2:$R$10,E1073)</f>
        <v>15</v>
      </c>
      <c r="I1073" s="2">
        <f>SUMIFS($S$2:$S$10,$R$2:$R$10,F1073)</f>
        <v>20</v>
      </c>
      <c r="J1073" s="2">
        <f>SUM(G1073:I1073)</f>
        <v>69</v>
      </c>
      <c r="K1073" s="2">
        <f>SUMIFS($U$2:$U$10,$R$2:$R$10,E1073)</f>
        <v>0.09</v>
      </c>
      <c r="L1073" s="2">
        <f>SUMIFS($T$2:$T$10,$R$2:$R$10,F1073)</f>
        <v>0.37</v>
      </c>
      <c r="M1073" s="2">
        <f>SUMIFS($V$2:$V$10,$R$2:$R$10,D1073)</f>
        <v>0.09</v>
      </c>
    </row>
    <row r="1074" spans="1:13" x14ac:dyDescent="0.25">
      <c r="A1074" s="2">
        <f>(A$2+A$2*K1074+A$2*M1074)*(1+L1074)</f>
        <v>747.64800000000002</v>
      </c>
      <c r="B1074" s="2">
        <f>(B$2+B$2*K1074+B$2*M1074)*(1+L1074)</f>
        <v>869.61599999999999</v>
      </c>
      <c r="C1074" s="2">
        <f>(C$2+C$2*K1074+C$2*M1074)*(1+L1074)</f>
        <v>913.96799999999996</v>
      </c>
      <c r="D1074" s="2">
        <v>9</v>
      </c>
      <c r="E1074" s="2">
        <v>7</v>
      </c>
      <c r="F1074" s="2">
        <v>6</v>
      </c>
      <c r="G1074" s="2">
        <f>SUMIFS($S$2:$S$10,$R$2:$R$10,D1074)</f>
        <v>34</v>
      </c>
      <c r="H1074" s="2">
        <f>SUMIFS($S$2:$S$10,$R$2:$R$10,E1074)</f>
        <v>20</v>
      </c>
      <c r="I1074" s="2">
        <f>SUMIFS($S$2:$S$10,$R$2:$R$10,F1074)</f>
        <v>15</v>
      </c>
      <c r="J1074" s="2">
        <f>SUM(G1074:I1074)</f>
        <v>69</v>
      </c>
      <c r="K1074" s="2">
        <f>SUMIFS($U$2:$U$10,$R$2:$R$10,E1074)</f>
        <v>0.11</v>
      </c>
      <c r="L1074" s="2">
        <f>SUMIFS($T$2:$T$10,$R$2:$R$10,F1074)</f>
        <v>0.32</v>
      </c>
      <c r="M1074" s="2">
        <f>SUMIFS($V$2:$V$10,$R$2:$R$10,D1074)</f>
        <v>0.09</v>
      </c>
    </row>
    <row r="1075" spans="1:13" x14ac:dyDescent="0.25">
      <c r="A1075" s="2">
        <f>(A$2+A$2*K1075+A$2*M1075)*(1+L1075)</f>
        <v>661.36639999999989</v>
      </c>
      <c r="B1075" s="2">
        <f>(B$2+B$2*K1075+B$2*M1075)*(1+L1075)</f>
        <v>769.25879999999995</v>
      </c>
      <c r="C1075" s="2">
        <f>(C$2+C$2*K1075+C$2*M1075)*(1+L1075)</f>
        <v>808.49239999999986</v>
      </c>
      <c r="D1075" s="2">
        <v>9</v>
      </c>
      <c r="E1075" s="2">
        <v>9</v>
      </c>
      <c r="F1075" s="2">
        <v>1</v>
      </c>
      <c r="G1075" s="2">
        <f>SUMIFS($S$2:$S$10,$R$2:$R$10,D1075)</f>
        <v>34</v>
      </c>
      <c r="H1075" s="2">
        <f>SUMIFS($S$2:$S$10,$R$2:$R$10,E1075)</f>
        <v>34</v>
      </c>
      <c r="I1075" s="2">
        <f>SUMIFS($S$2:$S$10,$R$2:$R$10,F1075)</f>
        <v>1</v>
      </c>
      <c r="J1075" s="2">
        <f>SUM(G1075:I1075)</f>
        <v>69</v>
      </c>
      <c r="K1075" s="2">
        <f>SUMIFS($U$2:$U$10,$R$2:$R$10,E1075)</f>
        <v>0.15</v>
      </c>
      <c r="L1075" s="2">
        <f>SUMIFS($T$2:$T$10,$R$2:$R$10,F1075)</f>
        <v>0.13</v>
      </c>
      <c r="M1075" s="2">
        <f>SUMIFS($V$2:$V$10,$R$2:$R$10,D1075)</f>
        <v>0.09</v>
      </c>
    </row>
    <row r="1076" spans="1:13" x14ac:dyDescent="0.25">
      <c r="A1076" s="1">
        <f>(A$2+A$2*K1076+A$2*L1076)*(1+M1076)</f>
        <v>780.6407999999999</v>
      </c>
      <c r="B1076" s="1">
        <f>(B$2+B$2*K1076+B$2*L1076)*(1+M1076)</f>
        <v>907.99109999999996</v>
      </c>
      <c r="C1076" s="1">
        <f>(C$2+C$2*K1076+C$2*L1076)*(1+M1076)</f>
        <v>954.30029999999988</v>
      </c>
      <c r="D1076" s="1">
        <v>9</v>
      </c>
      <c r="E1076" s="1">
        <v>2</v>
      </c>
      <c r="F1076" s="1">
        <v>9</v>
      </c>
      <c r="G1076" s="1">
        <f>SUMIFS($S$2:$S$10,$R$2:$R$10,D1076)</f>
        <v>34</v>
      </c>
      <c r="H1076" s="1">
        <f>SUMIFS($S$2:$S$10,$R$2:$R$10,E1076)</f>
        <v>2</v>
      </c>
      <c r="I1076" s="1">
        <f>SUMIFS($S$2:$S$10,$R$2:$R$10,F1076)</f>
        <v>34</v>
      </c>
      <c r="J1076" s="1">
        <f>SUM(G1076:I1076)</f>
        <v>70</v>
      </c>
      <c r="K1076" s="1">
        <f>SUMIFS($U$2:$U$10,$R$2:$R$10,E1076)</f>
        <v>0.02</v>
      </c>
      <c r="L1076" s="1">
        <f>SUMIFS($V$2:$V$10,$R$2:$R$10,F1076)</f>
        <v>0.09</v>
      </c>
      <c r="M1076" s="1">
        <f>SUMIFS($T$2:$T$10,$R$2:$R$10,D1076)</f>
        <v>0.49</v>
      </c>
    </row>
    <row r="1077" spans="1:13" x14ac:dyDescent="0.25">
      <c r="A1077" s="1">
        <f>(A$2+A$2*K1077+A$2*L1077)*(1+M1077)</f>
        <v>822.83759999999995</v>
      </c>
      <c r="B1077" s="1">
        <f>(B$2+B$2*K1077+B$2*L1077)*(1+M1077)</f>
        <v>957.07170000000008</v>
      </c>
      <c r="C1077" s="1">
        <f>(C$2+C$2*K1077+C$2*L1077)*(1+M1077)</f>
        <v>1005.8840999999999</v>
      </c>
      <c r="D1077" s="1">
        <v>9</v>
      </c>
      <c r="E1077" s="1">
        <v>9</v>
      </c>
      <c r="F1077" s="1">
        <v>2</v>
      </c>
      <c r="G1077" s="1">
        <f>SUMIFS($S$2:$S$10,$R$2:$R$10,D1077)</f>
        <v>34</v>
      </c>
      <c r="H1077" s="1">
        <f>SUMIFS($S$2:$S$10,$R$2:$R$10,E1077)</f>
        <v>34</v>
      </c>
      <c r="I1077" s="1">
        <f>SUMIFS($S$2:$S$10,$R$2:$R$10,F1077)</f>
        <v>2</v>
      </c>
      <c r="J1077" s="1">
        <f>SUM(G1077:I1077)</f>
        <v>70</v>
      </c>
      <c r="K1077" s="1">
        <f>SUMIFS($U$2:$U$10,$R$2:$R$10,E1077)</f>
        <v>0.15</v>
      </c>
      <c r="L1077" s="1">
        <f>SUMIFS($V$2:$V$10,$R$2:$R$10,F1077)</f>
        <v>0.02</v>
      </c>
      <c r="M1077" s="1">
        <f>SUMIFS($T$2:$T$10,$R$2:$R$10,D1077)</f>
        <v>0.49</v>
      </c>
    </row>
    <row r="1078" spans="1:13" x14ac:dyDescent="0.25">
      <c r="A1078" s="3">
        <f>(A$2+A$2*M1078+A$2*L1078)*(1+K1078)</f>
        <v>678.92479999999989</v>
      </c>
      <c r="B1078" s="3">
        <f>(B$2+B$2*M1078+B$2*L1078)*(1+K1078)</f>
        <v>789.68159999999989</v>
      </c>
      <c r="C1078" s="3">
        <f>(C$2+C$2*M1078+C$2*L1078)*(1+K1078)</f>
        <v>829.95679999999982</v>
      </c>
      <c r="D1078" s="3">
        <v>9</v>
      </c>
      <c r="E1078" s="3">
        <v>2</v>
      </c>
      <c r="F1078" s="3">
        <v>9</v>
      </c>
      <c r="G1078" s="3">
        <f>SUMIFS($S$2:$S$10,$R$2:$R$10,D1078)</f>
        <v>34</v>
      </c>
      <c r="H1078" s="3">
        <f>SUMIFS($S$2:$S$10,$R$2:$R$10,E1078)</f>
        <v>2</v>
      </c>
      <c r="I1078" s="3">
        <f>SUMIFS($S$2:$S$10,$R$2:$R$10,F1078)</f>
        <v>34</v>
      </c>
      <c r="J1078" s="3">
        <f>SUM(G1078:I1078)</f>
        <v>70</v>
      </c>
      <c r="K1078" s="3">
        <f>SUMIFS($T$2:$T$10,$R$2:$R$10,E1078)</f>
        <v>0.16</v>
      </c>
      <c r="L1078" s="3">
        <f>SUMIFS($V$2:$V$10,$R$2:$R$10,F1078)</f>
        <v>0.09</v>
      </c>
      <c r="M1078" s="3">
        <f>SUMIFS($U$2:$U$10,$R$2:$R$10,D1078)</f>
        <v>0.15</v>
      </c>
    </row>
    <row r="1079" spans="1:13" x14ac:dyDescent="0.25">
      <c r="A1079" s="3">
        <f>(A$2+A$2*M1079+A$2*L1079)*(1+K1079)</f>
        <v>822.83759999999995</v>
      </c>
      <c r="B1079" s="3">
        <f>(B$2+B$2*M1079+B$2*L1079)*(1+K1079)</f>
        <v>957.07170000000008</v>
      </c>
      <c r="C1079" s="3">
        <f>(C$2+C$2*M1079+C$2*L1079)*(1+K1079)</f>
        <v>1005.8840999999999</v>
      </c>
      <c r="D1079" s="3">
        <v>9</v>
      </c>
      <c r="E1079" s="3">
        <v>9</v>
      </c>
      <c r="F1079" s="3">
        <v>2</v>
      </c>
      <c r="G1079" s="3">
        <f>SUMIFS($S$2:$S$10,$R$2:$R$10,D1079)</f>
        <v>34</v>
      </c>
      <c r="H1079" s="3">
        <f>SUMIFS($S$2:$S$10,$R$2:$R$10,E1079)</f>
        <v>34</v>
      </c>
      <c r="I1079" s="3">
        <f>SUMIFS($S$2:$S$10,$R$2:$R$10,F1079)</f>
        <v>2</v>
      </c>
      <c r="J1079" s="3">
        <f>SUM(G1079:I1079)</f>
        <v>70</v>
      </c>
      <c r="K1079" s="3">
        <f>SUMIFS($T$2:$T$10,$R$2:$R$10,E1079)</f>
        <v>0.49</v>
      </c>
      <c r="L1079" s="3">
        <f>SUMIFS($V$2:$V$10,$R$2:$R$10,F1079)</f>
        <v>0.02</v>
      </c>
      <c r="M1079" s="3">
        <f>SUMIFS($U$2:$U$10,$R$2:$R$10,D1079)</f>
        <v>0.15</v>
      </c>
    </row>
    <row r="1080" spans="1:13" x14ac:dyDescent="0.25">
      <c r="A1080" s="2">
        <f>(A$2+A$2*K1080+A$2*M1080)*(1+L1080)</f>
        <v>780.6407999999999</v>
      </c>
      <c r="B1080" s="2">
        <f>(B$2+B$2*K1080+B$2*M1080)*(1+L1080)</f>
        <v>907.99109999999996</v>
      </c>
      <c r="C1080" s="2">
        <f>(C$2+C$2*K1080+C$2*M1080)*(1+L1080)</f>
        <v>954.30029999999988</v>
      </c>
      <c r="D1080" s="2">
        <v>9</v>
      </c>
      <c r="E1080" s="2">
        <v>2</v>
      </c>
      <c r="F1080" s="2">
        <v>9</v>
      </c>
      <c r="G1080" s="2">
        <f>SUMIFS($S$2:$S$10,$R$2:$R$10,D1080)</f>
        <v>34</v>
      </c>
      <c r="H1080" s="2">
        <f>SUMIFS($S$2:$S$10,$R$2:$R$10,E1080)</f>
        <v>2</v>
      </c>
      <c r="I1080" s="2">
        <f>SUMIFS($S$2:$S$10,$R$2:$R$10,F1080)</f>
        <v>34</v>
      </c>
      <c r="J1080" s="2">
        <f>SUM(G1080:I1080)</f>
        <v>70</v>
      </c>
      <c r="K1080" s="2">
        <f>SUMIFS($U$2:$U$10,$R$2:$R$10,E1080)</f>
        <v>0.02</v>
      </c>
      <c r="L1080" s="2">
        <f>SUMIFS($T$2:$T$10,$R$2:$R$10,F1080)</f>
        <v>0.49</v>
      </c>
      <c r="M1080" s="2">
        <f>SUMIFS($V$2:$V$10,$R$2:$R$10,D1080)</f>
        <v>0.09</v>
      </c>
    </row>
    <row r="1081" spans="1:13" x14ac:dyDescent="0.25">
      <c r="A1081" s="2">
        <f>(A$2+A$2*K1081+A$2*M1081)*(1+L1081)</f>
        <v>678.92479999999989</v>
      </c>
      <c r="B1081" s="2">
        <f>(B$2+B$2*K1081+B$2*M1081)*(1+L1081)</f>
        <v>789.68159999999989</v>
      </c>
      <c r="C1081" s="2">
        <f>(C$2+C$2*K1081+C$2*M1081)*(1+L1081)</f>
        <v>829.95679999999982</v>
      </c>
      <c r="D1081" s="2">
        <v>9</v>
      </c>
      <c r="E1081" s="2">
        <v>9</v>
      </c>
      <c r="F1081" s="2">
        <v>2</v>
      </c>
      <c r="G1081" s="2">
        <f>SUMIFS($S$2:$S$10,$R$2:$R$10,D1081)</f>
        <v>34</v>
      </c>
      <c r="H1081" s="2">
        <f>SUMIFS($S$2:$S$10,$R$2:$R$10,E1081)</f>
        <v>34</v>
      </c>
      <c r="I1081" s="2">
        <f>SUMIFS($S$2:$S$10,$R$2:$R$10,F1081)</f>
        <v>2</v>
      </c>
      <c r="J1081" s="2">
        <f>SUM(G1081:I1081)</f>
        <v>70</v>
      </c>
      <c r="K1081" s="2">
        <f>SUMIFS($U$2:$U$10,$R$2:$R$10,E1081)</f>
        <v>0.15</v>
      </c>
      <c r="L1081" s="2">
        <f>SUMIFS($T$2:$T$10,$R$2:$R$10,F1081)</f>
        <v>0.16</v>
      </c>
      <c r="M1081" s="2">
        <f>SUMIFS($V$2:$V$10,$R$2:$R$10,D1081)</f>
        <v>0.09</v>
      </c>
    </row>
    <row r="1082" spans="1:13" x14ac:dyDescent="0.25">
      <c r="A1082" s="1">
        <f>(A$2+A$2*K1082+A$2*L1082)*(1+M1082)</f>
        <v>808.77200000000005</v>
      </c>
      <c r="B1082" s="1">
        <f>(B$2+B$2*K1082+B$2*L1082)*(1+M1082)</f>
        <v>940.7115</v>
      </c>
      <c r="C1082" s="1">
        <f>(C$2+C$2*K1082+C$2*L1082)*(1+M1082)</f>
        <v>988.68949999999995</v>
      </c>
      <c r="D1082" s="1">
        <v>9</v>
      </c>
      <c r="E1082" s="1">
        <v>5</v>
      </c>
      <c r="F1082" s="1">
        <v>8</v>
      </c>
      <c r="G1082" s="1">
        <f>SUMIFS($S$2:$S$10,$R$2:$R$10,D1082)</f>
        <v>34</v>
      </c>
      <c r="H1082" s="1">
        <f>SUMIFS($S$2:$S$10,$R$2:$R$10,E1082)</f>
        <v>10</v>
      </c>
      <c r="I1082" s="1">
        <f>SUMIFS($S$2:$S$10,$R$2:$R$10,F1082)</f>
        <v>27</v>
      </c>
      <c r="J1082" s="1">
        <f>SUM(G1082:I1082)</f>
        <v>71</v>
      </c>
      <c r="K1082" s="1">
        <f>SUMIFS($U$2:$U$10,$R$2:$R$10,E1082)</f>
        <v>7.0000000000000007E-2</v>
      </c>
      <c r="L1082" s="1">
        <f>SUMIFS($V$2:$V$10,$R$2:$R$10,F1082)</f>
        <v>0.08</v>
      </c>
      <c r="M1082" s="1">
        <f>SUMIFS($T$2:$T$10,$R$2:$R$10,D1082)</f>
        <v>0.49</v>
      </c>
    </row>
    <row r="1083" spans="1:13" x14ac:dyDescent="0.25">
      <c r="A1083" s="1">
        <f>(A$2+A$2*K1083+A$2*L1083)*(1+M1083)</f>
        <v>829.87040000000002</v>
      </c>
      <c r="B1083" s="1">
        <f>(B$2+B$2*K1083+B$2*L1083)*(1+M1083)</f>
        <v>965.25180000000012</v>
      </c>
      <c r="C1083" s="1">
        <f>(C$2+C$2*K1083+C$2*L1083)*(1+M1083)</f>
        <v>1014.4814</v>
      </c>
      <c r="D1083" s="1">
        <v>9</v>
      </c>
      <c r="E1083" s="1">
        <v>8</v>
      </c>
      <c r="F1083" s="1">
        <v>5</v>
      </c>
      <c r="G1083" s="1">
        <f>SUMIFS($S$2:$S$10,$R$2:$R$10,D1083)</f>
        <v>34</v>
      </c>
      <c r="H1083" s="1">
        <f>SUMIFS($S$2:$S$10,$R$2:$R$10,E1083)</f>
        <v>27</v>
      </c>
      <c r="I1083" s="1">
        <f>SUMIFS($S$2:$S$10,$R$2:$R$10,F1083)</f>
        <v>10</v>
      </c>
      <c r="J1083" s="1">
        <f>SUM(G1083:I1083)</f>
        <v>71</v>
      </c>
      <c r="K1083" s="1">
        <f>SUMIFS($U$2:$U$10,$R$2:$R$10,E1083)</f>
        <v>0.13</v>
      </c>
      <c r="L1083" s="1">
        <f>SUMIFS($V$2:$V$10,$R$2:$R$10,F1083)</f>
        <v>0.05</v>
      </c>
      <c r="M1083" s="1">
        <f>SUMIFS($T$2:$T$10,$R$2:$R$10,D1083)</f>
        <v>0.49</v>
      </c>
    </row>
    <row r="1084" spans="1:13" x14ac:dyDescent="0.25">
      <c r="A1084" s="3">
        <f>(A$2+A$2*M1084+A$2*L1084)*(1+K1084)</f>
        <v>737.31119999999999</v>
      </c>
      <c r="B1084" s="3">
        <f>(B$2+B$2*M1084+B$2*L1084)*(1+K1084)</f>
        <v>857.59289999999999</v>
      </c>
      <c r="C1084" s="3">
        <f>(C$2+C$2*M1084+C$2*L1084)*(1+K1084)</f>
        <v>901.33169999999996</v>
      </c>
      <c r="D1084" s="3">
        <v>9</v>
      </c>
      <c r="E1084" s="3">
        <v>5</v>
      </c>
      <c r="F1084" s="3">
        <v>8</v>
      </c>
      <c r="G1084" s="3">
        <f>SUMIFS($S$2:$S$10,$R$2:$R$10,D1084)</f>
        <v>34</v>
      </c>
      <c r="H1084" s="3">
        <f>SUMIFS($S$2:$S$10,$R$2:$R$10,E1084)</f>
        <v>10</v>
      </c>
      <c r="I1084" s="3">
        <f>SUMIFS($S$2:$S$10,$R$2:$R$10,F1084)</f>
        <v>27</v>
      </c>
      <c r="J1084" s="3">
        <f>SUM(G1084:I1084)</f>
        <v>71</v>
      </c>
      <c r="K1084" s="3">
        <f>SUMIFS($T$2:$T$10,$R$2:$R$10,E1084)</f>
        <v>0.27</v>
      </c>
      <c r="L1084" s="3">
        <f>SUMIFS($V$2:$V$10,$R$2:$R$10,F1084)</f>
        <v>0.08</v>
      </c>
      <c r="M1084" s="3">
        <f>SUMIFS($U$2:$U$10,$R$2:$R$10,D1084)</f>
        <v>0.15</v>
      </c>
    </row>
    <row r="1085" spans="1:13" x14ac:dyDescent="0.25">
      <c r="A1085" s="3">
        <f>(A$2+A$2*M1085+A$2*L1085)*(1+K1085)</f>
        <v>809.95199999999988</v>
      </c>
      <c r="B1085" s="3">
        <f>(B$2+B$2*M1085+B$2*L1085)*(1+K1085)</f>
        <v>942.08400000000006</v>
      </c>
      <c r="C1085" s="3">
        <f>(C$2+C$2*M1085+C$2*L1085)*(1+K1085)</f>
        <v>990.13199999999995</v>
      </c>
      <c r="D1085" s="3">
        <v>9</v>
      </c>
      <c r="E1085" s="3">
        <v>8</v>
      </c>
      <c r="F1085" s="3">
        <v>5</v>
      </c>
      <c r="G1085" s="3">
        <f>SUMIFS($S$2:$S$10,$R$2:$R$10,D1085)</f>
        <v>34</v>
      </c>
      <c r="H1085" s="3">
        <f>SUMIFS($S$2:$S$10,$R$2:$R$10,E1085)</f>
        <v>27</v>
      </c>
      <c r="I1085" s="3">
        <f>SUMIFS($S$2:$S$10,$R$2:$R$10,F1085)</f>
        <v>10</v>
      </c>
      <c r="J1085" s="3">
        <f>SUM(G1085:I1085)</f>
        <v>71</v>
      </c>
      <c r="K1085" s="3">
        <f>SUMIFS($T$2:$T$10,$R$2:$R$10,E1085)</f>
        <v>0.43</v>
      </c>
      <c r="L1085" s="3">
        <f>SUMIFS($V$2:$V$10,$R$2:$R$10,F1085)</f>
        <v>0.05</v>
      </c>
      <c r="M1085" s="3">
        <f>SUMIFS($U$2:$U$10,$R$2:$R$10,D1085)</f>
        <v>0.15</v>
      </c>
    </row>
    <row r="1086" spans="1:13" x14ac:dyDescent="0.25">
      <c r="A1086" s="2">
        <f>(A$2+A$2*K1086+A$2*M1086)*(1+L1086)</f>
        <v>782.95359999999994</v>
      </c>
      <c r="B1086" s="2">
        <f>(B$2+B$2*K1086+B$2*M1086)*(1+L1086)</f>
        <v>910.68119999999999</v>
      </c>
      <c r="C1086" s="2">
        <f>(C$2+C$2*K1086+C$2*M1086)*(1+L1086)</f>
        <v>957.12759999999992</v>
      </c>
      <c r="D1086" s="2">
        <v>9</v>
      </c>
      <c r="E1086" s="2">
        <v>5</v>
      </c>
      <c r="F1086" s="2">
        <v>8</v>
      </c>
      <c r="G1086" s="2">
        <f>SUMIFS($S$2:$S$10,$R$2:$R$10,D1086)</f>
        <v>34</v>
      </c>
      <c r="H1086" s="2">
        <f>SUMIFS($S$2:$S$10,$R$2:$R$10,E1086)</f>
        <v>10</v>
      </c>
      <c r="I1086" s="2">
        <f>SUMIFS($S$2:$S$10,$R$2:$R$10,F1086)</f>
        <v>27</v>
      </c>
      <c r="J1086" s="2">
        <f>SUM(G1086:I1086)</f>
        <v>71</v>
      </c>
      <c r="K1086" s="2">
        <f>SUMIFS($U$2:$U$10,$R$2:$R$10,E1086)</f>
        <v>7.0000000000000007E-2</v>
      </c>
      <c r="L1086" s="2">
        <f>SUMIFS($T$2:$T$10,$R$2:$R$10,F1086)</f>
        <v>0.43</v>
      </c>
      <c r="M1086" s="2">
        <f>SUMIFS($V$2:$V$10,$R$2:$R$10,D1086)</f>
        <v>0.09</v>
      </c>
    </row>
    <row r="1087" spans="1:13" x14ac:dyDescent="0.25">
      <c r="A1087" s="2">
        <f>(A$2+A$2*K1087+A$2*M1087)*(1+L1087)</f>
        <v>731.31680000000006</v>
      </c>
      <c r="B1087" s="2">
        <f>(B$2+B$2*K1087+B$2*M1087)*(1+L1087)</f>
        <v>850.62059999999997</v>
      </c>
      <c r="C1087" s="2">
        <f>(C$2+C$2*K1087+C$2*M1087)*(1+L1087)</f>
        <v>894.00379999999996</v>
      </c>
      <c r="D1087" s="2">
        <v>9</v>
      </c>
      <c r="E1087" s="2">
        <v>8</v>
      </c>
      <c r="F1087" s="2">
        <v>5</v>
      </c>
      <c r="G1087" s="2">
        <f>SUMIFS($S$2:$S$10,$R$2:$R$10,D1087)</f>
        <v>34</v>
      </c>
      <c r="H1087" s="2">
        <f>SUMIFS($S$2:$S$10,$R$2:$R$10,E1087)</f>
        <v>27</v>
      </c>
      <c r="I1087" s="2">
        <f>SUMIFS($S$2:$S$10,$R$2:$R$10,F1087)</f>
        <v>10</v>
      </c>
      <c r="J1087" s="2">
        <f>SUM(G1087:I1087)</f>
        <v>71</v>
      </c>
      <c r="K1087" s="2">
        <f>SUMIFS($U$2:$U$10,$R$2:$R$10,E1087)</f>
        <v>0.13</v>
      </c>
      <c r="L1087" s="2">
        <f>SUMIFS($T$2:$T$10,$R$2:$R$10,F1087)</f>
        <v>0.27</v>
      </c>
      <c r="M1087" s="2">
        <f>SUMIFS($V$2:$V$10,$R$2:$R$10,D1087)</f>
        <v>0.09</v>
      </c>
    </row>
    <row r="1088" spans="1:13" x14ac:dyDescent="0.25">
      <c r="A1088" s="1">
        <f>(A$2+A$2*K1088+A$2*L1088)*(1+M1088)</f>
        <v>787.67359999999996</v>
      </c>
      <c r="B1088" s="1">
        <f>(B$2+B$2*K1088+B$2*L1088)*(1+M1088)</f>
        <v>916.1712</v>
      </c>
      <c r="C1088" s="1">
        <f>(C$2+C$2*K1088+C$2*L1088)*(1+M1088)</f>
        <v>962.89759999999978</v>
      </c>
      <c r="D1088" s="1">
        <v>9</v>
      </c>
      <c r="E1088" s="1">
        <v>3</v>
      </c>
      <c r="F1088" s="1">
        <v>9</v>
      </c>
      <c r="G1088" s="1">
        <f>SUMIFS($S$2:$S$10,$R$2:$R$10,D1088)</f>
        <v>34</v>
      </c>
      <c r="H1088" s="1">
        <f>SUMIFS($S$2:$S$10,$R$2:$R$10,E1088)</f>
        <v>4</v>
      </c>
      <c r="I1088" s="1">
        <f>SUMIFS($S$2:$S$10,$R$2:$R$10,F1088)</f>
        <v>34</v>
      </c>
      <c r="J1088" s="1">
        <f>SUM(G1088:I1088)</f>
        <v>72</v>
      </c>
      <c r="K1088" s="1">
        <f>SUMIFS($U$2:$U$10,$R$2:$R$10,E1088)</f>
        <v>0.03</v>
      </c>
      <c r="L1088" s="1">
        <f>SUMIFS($V$2:$V$10,$R$2:$R$10,F1088)</f>
        <v>0.09</v>
      </c>
      <c r="M1088" s="1">
        <f>SUMIFS($T$2:$T$10,$R$2:$R$10,D1088)</f>
        <v>0.49</v>
      </c>
    </row>
    <row r="1089" spans="1:13" x14ac:dyDescent="0.25">
      <c r="A1089" s="1">
        <f>(A$2+A$2*K1089+A$2*L1089)*(1+M1089)</f>
        <v>829.8703999999999</v>
      </c>
      <c r="B1089" s="1">
        <f>(B$2+B$2*K1089+B$2*L1089)*(1+M1089)</f>
        <v>965.25180000000012</v>
      </c>
      <c r="C1089" s="1">
        <f>(C$2+C$2*K1089+C$2*L1089)*(1+M1089)</f>
        <v>1014.4813999999999</v>
      </c>
      <c r="D1089" s="1">
        <v>9</v>
      </c>
      <c r="E1089" s="1">
        <v>9</v>
      </c>
      <c r="F1089" s="1">
        <v>3</v>
      </c>
      <c r="G1089" s="1">
        <f>SUMIFS($S$2:$S$10,$R$2:$R$10,D1089)</f>
        <v>34</v>
      </c>
      <c r="H1089" s="1">
        <f>SUMIFS($S$2:$S$10,$R$2:$R$10,E1089)</f>
        <v>34</v>
      </c>
      <c r="I1089" s="1">
        <f>SUMIFS($S$2:$S$10,$R$2:$R$10,F1089)</f>
        <v>4</v>
      </c>
      <c r="J1089" s="1">
        <f>SUM(G1089:I1089)</f>
        <v>72</v>
      </c>
      <c r="K1089" s="1">
        <f>SUMIFS($U$2:$U$10,$R$2:$R$10,E1089)</f>
        <v>0.15</v>
      </c>
      <c r="L1089" s="1">
        <f>SUMIFS($V$2:$V$10,$R$2:$R$10,F1089)</f>
        <v>0.03</v>
      </c>
      <c r="M1089" s="1">
        <f>SUMIFS($T$2:$T$10,$R$2:$R$10,D1089)</f>
        <v>0.49</v>
      </c>
    </row>
    <row r="1090" spans="1:13" x14ac:dyDescent="0.25">
      <c r="A1090" s="3">
        <f>(A$2+A$2*M1090+A$2*L1090)*(1+K1090)</f>
        <v>696.4831999999999</v>
      </c>
      <c r="B1090" s="3">
        <f>(B$2+B$2*M1090+B$2*L1090)*(1+K1090)</f>
        <v>810.10439999999994</v>
      </c>
      <c r="C1090" s="3">
        <f>(C$2+C$2*M1090+C$2*L1090)*(1+K1090)</f>
        <v>851.42119999999989</v>
      </c>
      <c r="D1090" s="3">
        <v>9</v>
      </c>
      <c r="E1090" s="3">
        <v>3</v>
      </c>
      <c r="F1090" s="3">
        <v>9</v>
      </c>
      <c r="G1090" s="3">
        <f>SUMIFS($S$2:$S$10,$R$2:$R$10,D1090)</f>
        <v>34</v>
      </c>
      <c r="H1090" s="3">
        <f>SUMIFS($S$2:$S$10,$R$2:$R$10,E1090)</f>
        <v>4</v>
      </c>
      <c r="I1090" s="3">
        <f>SUMIFS($S$2:$S$10,$R$2:$R$10,F1090)</f>
        <v>34</v>
      </c>
      <c r="J1090" s="3">
        <f>SUM(G1090:I1090)</f>
        <v>72</v>
      </c>
      <c r="K1090" s="3">
        <f>SUMIFS($T$2:$T$10,$R$2:$R$10,E1090)</f>
        <v>0.19</v>
      </c>
      <c r="L1090" s="3">
        <f>SUMIFS($V$2:$V$10,$R$2:$R$10,F1090)</f>
        <v>0.09</v>
      </c>
      <c r="M1090" s="3">
        <f>SUMIFS($U$2:$U$10,$R$2:$R$10,D1090)</f>
        <v>0.15</v>
      </c>
    </row>
    <row r="1091" spans="1:13" x14ac:dyDescent="0.25">
      <c r="A1091" s="3">
        <f>(A$2+A$2*M1091+A$2*L1091)*(1+K1091)</f>
        <v>829.8703999999999</v>
      </c>
      <c r="B1091" s="3">
        <f>(B$2+B$2*M1091+B$2*L1091)*(1+K1091)</f>
        <v>965.25180000000012</v>
      </c>
      <c r="C1091" s="3">
        <f>(C$2+C$2*M1091+C$2*L1091)*(1+K1091)</f>
        <v>1014.4813999999999</v>
      </c>
      <c r="D1091" s="3">
        <v>9</v>
      </c>
      <c r="E1091" s="3">
        <v>9</v>
      </c>
      <c r="F1091" s="3">
        <v>3</v>
      </c>
      <c r="G1091" s="3">
        <f>SUMIFS($S$2:$S$10,$R$2:$R$10,D1091)</f>
        <v>34</v>
      </c>
      <c r="H1091" s="3">
        <f>SUMIFS($S$2:$S$10,$R$2:$R$10,E1091)</f>
        <v>34</v>
      </c>
      <c r="I1091" s="3">
        <f>SUMIFS($S$2:$S$10,$R$2:$R$10,F1091)</f>
        <v>4</v>
      </c>
      <c r="J1091" s="3">
        <f>SUM(G1091:I1091)</f>
        <v>72</v>
      </c>
      <c r="K1091" s="3">
        <f>SUMIFS($T$2:$T$10,$R$2:$R$10,E1091)</f>
        <v>0.49</v>
      </c>
      <c r="L1091" s="3">
        <f>SUMIFS($V$2:$V$10,$R$2:$R$10,F1091)</f>
        <v>0.03</v>
      </c>
      <c r="M1091" s="3">
        <f>SUMIFS($U$2:$U$10,$R$2:$R$10,D1091)</f>
        <v>0.15</v>
      </c>
    </row>
    <row r="1092" spans="1:13" x14ac:dyDescent="0.25">
      <c r="A1092" s="2">
        <f>(A$2+A$2*K1092+A$2*M1092)*(1+L1092)</f>
        <v>787.67359999999996</v>
      </c>
      <c r="B1092" s="2">
        <f>(B$2+B$2*K1092+B$2*M1092)*(1+L1092)</f>
        <v>916.1712</v>
      </c>
      <c r="C1092" s="2">
        <f>(C$2+C$2*K1092+C$2*M1092)*(1+L1092)</f>
        <v>962.89759999999978</v>
      </c>
      <c r="D1092" s="2">
        <v>9</v>
      </c>
      <c r="E1092" s="2">
        <v>3</v>
      </c>
      <c r="F1092" s="2">
        <v>9</v>
      </c>
      <c r="G1092" s="2">
        <f>SUMIFS($S$2:$S$10,$R$2:$R$10,D1092)</f>
        <v>34</v>
      </c>
      <c r="H1092" s="2">
        <f>SUMIFS($S$2:$S$10,$R$2:$R$10,E1092)</f>
        <v>4</v>
      </c>
      <c r="I1092" s="2">
        <f>SUMIFS($S$2:$S$10,$R$2:$R$10,F1092)</f>
        <v>34</v>
      </c>
      <c r="J1092" s="2">
        <f>SUM(G1092:I1092)</f>
        <v>72</v>
      </c>
      <c r="K1092" s="2">
        <f>SUMIFS($U$2:$U$10,$R$2:$R$10,E1092)</f>
        <v>0.03</v>
      </c>
      <c r="L1092" s="2">
        <f>SUMIFS($T$2:$T$10,$R$2:$R$10,F1092)</f>
        <v>0.49</v>
      </c>
      <c r="M1092" s="2">
        <f>SUMIFS($V$2:$V$10,$R$2:$R$10,D1092)</f>
        <v>0.09</v>
      </c>
    </row>
    <row r="1093" spans="1:13" x14ac:dyDescent="0.25">
      <c r="A1093" s="2">
        <f>(A$2+A$2*K1093+A$2*M1093)*(1+L1093)</f>
        <v>696.4831999999999</v>
      </c>
      <c r="B1093" s="2">
        <f>(B$2+B$2*K1093+B$2*M1093)*(1+L1093)</f>
        <v>810.10439999999994</v>
      </c>
      <c r="C1093" s="2">
        <f>(C$2+C$2*K1093+C$2*M1093)*(1+L1093)</f>
        <v>851.42119999999989</v>
      </c>
      <c r="D1093" s="2">
        <v>9</v>
      </c>
      <c r="E1093" s="2">
        <v>9</v>
      </c>
      <c r="F1093" s="2">
        <v>3</v>
      </c>
      <c r="G1093" s="2">
        <f>SUMIFS($S$2:$S$10,$R$2:$R$10,D1093)</f>
        <v>34</v>
      </c>
      <c r="H1093" s="2">
        <f>SUMIFS($S$2:$S$10,$R$2:$R$10,E1093)</f>
        <v>34</v>
      </c>
      <c r="I1093" s="2">
        <f>SUMIFS($S$2:$S$10,$R$2:$R$10,F1093)</f>
        <v>4</v>
      </c>
      <c r="J1093" s="2">
        <f>SUM(G1093:I1093)</f>
        <v>72</v>
      </c>
      <c r="K1093" s="2">
        <f>SUMIFS($U$2:$U$10,$R$2:$R$10,E1093)</f>
        <v>0.15</v>
      </c>
      <c r="L1093" s="2">
        <f>SUMIFS($T$2:$T$10,$R$2:$R$10,F1093)</f>
        <v>0.19</v>
      </c>
      <c r="M1093" s="2">
        <f>SUMIFS($V$2:$V$10,$R$2:$R$10,D1093)</f>
        <v>0.09</v>
      </c>
    </row>
    <row r="1094" spans="1:13" x14ac:dyDescent="0.25">
      <c r="A1094" s="1">
        <f>(A$2+A$2*K1094+A$2*L1094)*(1+M1094)</f>
        <v>803.2023999999999</v>
      </c>
      <c r="B1094" s="1">
        <f>(B$2+B$2*K1094+B$2*L1094)*(1+M1094)</f>
        <v>934.23329999999987</v>
      </c>
      <c r="C1094" s="1">
        <f>(C$2+C$2*K1094+C$2*L1094)*(1+M1094)</f>
        <v>981.8809</v>
      </c>
      <c r="D1094" s="1">
        <v>8</v>
      </c>
      <c r="E1094" s="1">
        <v>7</v>
      </c>
      <c r="F1094" s="1">
        <v>8</v>
      </c>
      <c r="G1094" s="1">
        <f>SUMIFS($S$2:$S$10,$R$2:$R$10,D1094)</f>
        <v>27</v>
      </c>
      <c r="H1094" s="1">
        <f>SUMIFS($S$2:$S$10,$R$2:$R$10,E1094)</f>
        <v>20</v>
      </c>
      <c r="I1094" s="1">
        <f>SUMIFS($S$2:$S$10,$R$2:$R$10,F1094)</f>
        <v>27</v>
      </c>
      <c r="J1094" s="1">
        <f>SUM(G1094:I1094)</f>
        <v>74</v>
      </c>
      <c r="K1094" s="1">
        <f>SUMIFS($U$2:$U$10,$R$2:$R$10,E1094)</f>
        <v>0.11</v>
      </c>
      <c r="L1094" s="1">
        <f>SUMIFS($V$2:$V$10,$R$2:$R$10,F1094)</f>
        <v>0.08</v>
      </c>
      <c r="M1094" s="1">
        <f>SUMIFS($T$2:$T$10,$R$2:$R$10,D1094)</f>
        <v>0.43</v>
      </c>
    </row>
    <row r="1095" spans="1:13" x14ac:dyDescent="0.25">
      <c r="A1095" s="1">
        <f>(A$2+A$2*K1095+A$2*L1095)*(1+M1095)</f>
        <v>809.95199999999988</v>
      </c>
      <c r="B1095" s="1">
        <f>(B$2+B$2*K1095+B$2*L1095)*(1+M1095)</f>
        <v>942.08399999999995</v>
      </c>
      <c r="C1095" s="1">
        <f>(C$2+C$2*K1095+C$2*L1095)*(1+M1095)</f>
        <v>990.13199999999995</v>
      </c>
      <c r="D1095" s="1">
        <v>8</v>
      </c>
      <c r="E1095" s="1">
        <v>8</v>
      </c>
      <c r="F1095" s="1">
        <v>7</v>
      </c>
      <c r="G1095" s="1">
        <f>SUMIFS($S$2:$S$10,$R$2:$R$10,D1095)</f>
        <v>27</v>
      </c>
      <c r="H1095" s="1">
        <f>SUMIFS($S$2:$S$10,$R$2:$R$10,E1095)</f>
        <v>27</v>
      </c>
      <c r="I1095" s="1">
        <f>SUMIFS($S$2:$S$10,$R$2:$R$10,F1095)</f>
        <v>20</v>
      </c>
      <c r="J1095" s="1">
        <f>SUM(G1095:I1095)</f>
        <v>74</v>
      </c>
      <c r="K1095" s="1">
        <f>SUMIFS($U$2:$U$10,$R$2:$R$10,E1095)</f>
        <v>0.13</v>
      </c>
      <c r="L1095" s="1">
        <f>SUMIFS($V$2:$V$10,$R$2:$R$10,F1095)</f>
        <v>7.0000000000000007E-2</v>
      </c>
      <c r="M1095" s="1">
        <f>SUMIFS($T$2:$T$10,$R$2:$R$10,D1095)</f>
        <v>0.43</v>
      </c>
    </row>
    <row r="1096" spans="1:13" x14ac:dyDescent="0.25">
      <c r="A1096" s="1">
        <f>(A$2+A$2*K1096+A$2*L1096)*(1+M1096)</f>
        <v>829.8703999999999</v>
      </c>
      <c r="B1096" s="1">
        <f>(B$2+B$2*K1096+B$2*L1096)*(1+M1096)</f>
        <v>965.25179999999989</v>
      </c>
      <c r="C1096" s="1">
        <f>(C$2+C$2*K1096+C$2*L1096)*(1+M1096)</f>
        <v>1014.4814</v>
      </c>
      <c r="D1096" s="1">
        <v>9</v>
      </c>
      <c r="E1096" s="1">
        <v>7</v>
      </c>
      <c r="F1096" s="1">
        <v>7</v>
      </c>
      <c r="G1096" s="1">
        <f>SUMIFS($S$2:$S$10,$R$2:$R$10,D1096)</f>
        <v>34</v>
      </c>
      <c r="H1096" s="1">
        <f>SUMIFS($S$2:$S$10,$R$2:$R$10,E1096)</f>
        <v>20</v>
      </c>
      <c r="I1096" s="1">
        <f>SUMIFS($S$2:$S$10,$R$2:$R$10,F1096)</f>
        <v>20</v>
      </c>
      <c r="J1096" s="1">
        <f>SUM(G1096:I1096)</f>
        <v>74</v>
      </c>
      <c r="K1096" s="1">
        <f>SUMIFS($U$2:$U$10,$R$2:$R$10,E1096)</f>
        <v>0.11</v>
      </c>
      <c r="L1096" s="1">
        <f>SUMIFS($V$2:$V$10,$R$2:$R$10,F1096)</f>
        <v>7.0000000000000007E-2</v>
      </c>
      <c r="M1096" s="1">
        <f>SUMIFS($T$2:$T$10,$R$2:$R$10,D1096)</f>
        <v>0.49</v>
      </c>
    </row>
    <row r="1097" spans="1:13" x14ac:dyDescent="0.25">
      <c r="A1097" s="3">
        <f>(A$2+A$2*M1097+A$2*L1097)*(1+K1097)</f>
        <v>782.4344000000001</v>
      </c>
      <c r="B1097" s="3">
        <f>(B$2+B$2*M1097+B$2*L1097)*(1+K1097)</f>
        <v>910.07730000000004</v>
      </c>
      <c r="C1097" s="3">
        <f>(C$2+C$2*M1097+C$2*L1097)*(1+K1097)</f>
        <v>956.49289999999996</v>
      </c>
      <c r="D1097" s="3">
        <v>8</v>
      </c>
      <c r="E1097" s="3">
        <v>7</v>
      </c>
      <c r="F1097" s="3">
        <v>8</v>
      </c>
      <c r="G1097" s="3">
        <f>SUMIFS($S$2:$S$10,$R$2:$R$10,D1097)</f>
        <v>27</v>
      </c>
      <c r="H1097" s="3">
        <f>SUMIFS($S$2:$S$10,$R$2:$R$10,E1097)</f>
        <v>20</v>
      </c>
      <c r="I1097" s="3">
        <f>SUMIFS($S$2:$S$10,$R$2:$R$10,F1097)</f>
        <v>27</v>
      </c>
      <c r="J1097" s="3">
        <f>SUM(G1097:I1097)</f>
        <v>74</v>
      </c>
      <c r="K1097" s="3">
        <f>SUMIFS($T$2:$T$10,$R$2:$R$10,E1097)</f>
        <v>0.37</v>
      </c>
      <c r="L1097" s="3">
        <f>SUMIFS($V$2:$V$10,$R$2:$R$10,F1097)</f>
        <v>0.08</v>
      </c>
      <c r="M1097" s="3">
        <f>SUMIFS($U$2:$U$10,$R$2:$R$10,D1097)</f>
        <v>0.13</v>
      </c>
    </row>
    <row r="1098" spans="1:13" x14ac:dyDescent="0.25">
      <c r="A1098" s="3">
        <f>(A$2+A$2*M1098+A$2*L1098)*(1+K1098)</f>
        <v>809.95199999999988</v>
      </c>
      <c r="B1098" s="3">
        <f>(B$2+B$2*M1098+B$2*L1098)*(1+K1098)</f>
        <v>942.08399999999995</v>
      </c>
      <c r="C1098" s="3">
        <f>(C$2+C$2*M1098+C$2*L1098)*(1+K1098)</f>
        <v>990.13199999999995</v>
      </c>
      <c r="D1098" s="3">
        <v>8</v>
      </c>
      <c r="E1098" s="3">
        <v>8</v>
      </c>
      <c r="F1098" s="3">
        <v>7</v>
      </c>
      <c r="G1098" s="3">
        <f>SUMIFS($S$2:$S$10,$R$2:$R$10,D1098)</f>
        <v>27</v>
      </c>
      <c r="H1098" s="3">
        <f>SUMIFS($S$2:$S$10,$R$2:$R$10,E1098)</f>
        <v>27</v>
      </c>
      <c r="I1098" s="3">
        <f>SUMIFS($S$2:$S$10,$R$2:$R$10,F1098)</f>
        <v>20</v>
      </c>
      <c r="J1098" s="3">
        <f>SUM(G1098:I1098)</f>
        <v>74</v>
      </c>
      <c r="K1098" s="3">
        <f>SUMIFS($T$2:$T$10,$R$2:$R$10,E1098)</f>
        <v>0.43</v>
      </c>
      <c r="L1098" s="3">
        <f>SUMIFS($V$2:$V$10,$R$2:$R$10,F1098)</f>
        <v>7.0000000000000007E-2</v>
      </c>
      <c r="M1098" s="3">
        <f>SUMIFS($U$2:$U$10,$R$2:$R$10,D1098)</f>
        <v>0.13</v>
      </c>
    </row>
    <row r="1099" spans="1:13" x14ac:dyDescent="0.25">
      <c r="A1099" s="3">
        <f>(A$2+A$2*M1099+A$2*L1099)*(1+K1099)</f>
        <v>788.9008</v>
      </c>
      <c r="B1099" s="3">
        <f>(B$2+B$2*M1099+B$2*L1099)*(1+K1099)</f>
        <v>917.59860000000003</v>
      </c>
      <c r="C1099" s="3">
        <f>(C$2+C$2*M1099+C$2*L1099)*(1+K1099)</f>
        <v>964.39779999999996</v>
      </c>
      <c r="D1099" s="3">
        <v>9</v>
      </c>
      <c r="E1099" s="3">
        <v>7</v>
      </c>
      <c r="F1099" s="3">
        <v>7</v>
      </c>
      <c r="G1099" s="3">
        <f>SUMIFS($S$2:$S$10,$R$2:$R$10,D1099)</f>
        <v>34</v>
      </c>
      <c r="H1099" s="3">
        <f>SUMIFS($S$2:$S$10,$R$2:$R$10,E1099)</f>
        <v>20</v>
      </c>
      <c r="I1099" s="3">
        <f>SUMIFS($S$2:$S$10,$R$2:$R$10,F1099)</f>
        <v>20</v>
      </c>
      <c r="J1099" s="3">
        <f>SUM(G1099:I1099)</f>
        <v>74</v>
      </c>
      <c r="K1099" s="3">
        <f>SUMIFS($T$2:$T$10,$R$2:$R$10,E1099)</f>
        <v>0.37</v>
      </c>
      <c r="L1099" s="3">
        <f>SUMIFS($V$2:$V$10,$R$2:$R$10,F1099)</f>
        <v>7.0000000000000007E-2</v>
      </c>
      <c r="M1099" s="3">
        <f>SUMIFS($U$2:$U$10,$R$2:$R$10,D1099)</f>
        <v>0.15</v>
      </c>
    </row>
    <row r="1100" spans="1:13" x14ac:dyDescent="0.25">
      <c r="A1100" s="2">
        <f>(A$2+A$2*K1100+A$2*M1100)*(1+L1100)</f>
        <v>803.2023999999999</v>
      </c>
      <c r="B1100" s="2">
        <f>(B$2+B$2*K1100+B$2*M1100)*(1+L1100)</f>
        <v>934.23329999999987</v>
      </c>
      <c r="C1100" s="2">
        <f>(C$2+C$2*K1100+C$2*M1100)*(1+L1100)</f>
        <v>981.8809</v>
      </c>
      <c r="D1100" s="2">
        <v>8</v>
      </c>
      <c r="E1100" s="2">
        <v>7</v>
      </c>
      <c r="F1100" s="2">
        <v>8</v>
      </c>
      <c r="G1100" s="2">
        <f>SUMIFS($S$2:$S$10,$R$2:$R$10,D1100)</f>
        <v>27</v>
      </c>
      <c r="H1100" s="2">
        <f>SUMIFS($S$2:$S$10,$R$2:$R$10,E1100)</f>
        <v>20</v>
      </c>
      <c r="I1100" s="2">
        <f>SUMIFS($S$2:$S$10,$R$2:$R$10,F1100)</f>
        <v>27</v>
      </c>
      <c r="J1100" s="2">
        <f>SUM(G1100:I1100)</f>
        <v>74</v>
      </c>
      <c r="K1100" s="2">
        <f>SUMIFS($U$2:$U$10,$R$2:$R$10,E1100)</f>
        <v>0.11</v>
      </c>
      <c r="L1100" s="2">
        <f>SUMIFS($T$2:$T$10,$R$2:$R$10,F1100)</f>
        <v>0.43</v>
      </c>
      <c r="M1100" s="2">
        <f>SUMIFS($V$2:$V$10,$R$2:$R$10,D1100)</f>
        <v>0.08</v>
      </c>
    </row>
    <row r="1101" spans="1:13" x14ac:dyDescent="0.25">
      <c r="A1101" s="2">
        <f>(A$2+A$2*K1101+A$2*M1101)*(1+L1101)</f>
        <v>782.4344000000001</v>
      </c>
      <c r="B1101" s="2">
        <f>(B$2+B$2*K1101+B$2*M1101)*(1+L1101)</f>
        <v>910.07730000000004</v>
      </c>
      <c r="C1101" s="2">
        <f>(C$2+C$2*K1101+C$2*M1101)*(1+L1101)</f>
        <v>956.49289999999996</v>
      </c>
      <c r="D1101" s="2">
        <v>8</v>
      </c>
      <c r="E1101" s="2">
        <v>8</v>
      </c>
      <c r="F1101" s="2">
        <v>7</v>
      </c>
      <c r="G1101" s="2">
        <f>SUMIFS($S$2:$S$10,$R$2:$R$10,D1101)</f>
        <v>27</v>
      </c>
      <c r="H1101" s="2">
        <f>SUMIFS($S$2:$S$10,$R$2:$R$10,E1101)</f>
        <v>27</v>
      </c>
      <c r="I1101" s="2">
        <f>SUMIFS($S$2:$S$10,$R$2:$R$10,F1101)</f>
        <v>20</v>
      </c>
      <c r="J1101" s="2">
        <f>SUM(G1101:I1101)</f>
        <v>74</v>
      </c>
      <c r="K1101" s="2">
        <f>SUMIFS($U$2:$U$10,$R$2:$R$10,E1101)</f>
        <v>0.13</v>
      </c>
      <c r="L1101" s="2">
        <f>SUMIFS($T$2:$T$10,$R$2:$R$10,F1101)</f>
        <v>0.37</v>
      </c>
      <c r="M1101" s="2">
        <f>SUMIFS($V$2:$V$10,$R$2:$R$10,D1101)</f>
        <v>0.08</v>
      </c>
    </row>
    <row r="1102" spans="1:13" x14ac:dyDescent="0.25">
      <c r="A1102" s="2">
        <f>(A$2+A$2*K1102+A$2*M1102)*(1+L1102)</f>
        <v>775.96800000000007</v>
      </c>
      <c r="B1102" s="2">
        <f>(B$2+B$2*K1102+B$2*M1102)*(1+L1102)</f>
        <v>902.55600000000004</v>
      </c>
      <c r="C1102" s="2">
        <f>(C$2+C$2*K1102+C$2*M1102)*(1+L1102)</f>
        <v>948.58800000000008</v>
      </c>
      <c r="D1102" s="2">
        <v>9</v>
      </c>
      <c r="E1102" s="2">
        <v>7</v>
      </c>
      <c r="F1102" s="2">
        <v>7</v>
      </c>
      <c r="G1102" s="2">
        <f>SUMIFS($S$2:$S$10,$R$2:$R$10,D1102)</f>
        <v>34</v>
      </c>
      <c r="H1102" s="2">
        <f>SUMIFS($S$2:$S$10,$R$2:$R$10,E1102)</f>
        <v>20</v>
      </c>
      <c r="I1102" s="2">
        <f>SUMIFS($S$2:$S$10,$R$2:$R$10,F1102)</f>
        <v>20</v>
      </c>
      <c r="J1102" s="2">
        <f>SUM(G1102:I1102)</f>
        <v>74</v>
      </c>
      <c r="K1102" s="2">
        <f>SUMIFS($U$2:$U$10,$R$2:$R$10,E1102)</f>
        <v>0.11</v>
      </c>
      <c r="L1102" s="2">
        <f>SUMIFS($T$2:$T$10,$R$2:$R$10,F1102)</f>
        <v>0.37</v>
      </c>
      <c r="M1102" s="2">
        <f>SUMIFS($V$2:$V$10,$R$2:$R$10,D1102)</f>
        <v>0.09</v>
      </c>
    </row>
    <row r="1103" spans="1:13" x14ac:dyDescent="0.25">
      <c r="A1103" s="1">
        <f>(A$2+A$2*K1103+A$2*L1103)*(1+M1103)</f>
        <v>801.7392000000001</v>
      </c>
      <c r="B1103" s="1">
        <f>(B$2+B$2*K1103+B$2*L1103)*(1+M1103)</f>
        <v>932.53139999999996</v>
      </c>
      <c r="C1103" s="1">
        <f>(C$2+C$2*K1103+C$2*L1103)*(1+M1103)</f>
        <v>980.09219999999993</v>
      </c>
      <c r="D1103" s="1">
        <v>9</v>
      </c>
      <c r="E1103" s="1">
        <v>4</v>
      </c>
      <c r="F1103" s="1">
        <v>9</v>
      </c>
      <c r="G1103" s="1">
        <f>SUMIFS($S$2:$S$10,$R$2:$R$10,D1103)</f>
        <v>34</v>
      </c>
      <c r="H1103" s="1">
        <f>SUMIFS($S$2:$S$10,$R$2:$R$10,E1103)</f>
        <v>7</v>
      </c>
      <c r="I1103" s="1">
        <f>SUMIFS($S$2:$S$10,$R$2:$R$10,F1103)</f>
        <v>34</v>
      </c>
      <c r="J1103" s="1">
        <f>SUM(G1103:I1103)</f>
        <v>75</v>
      </c>
      <c r="K1103" s="1">
        <f>SUMIFS($U$2:$U$10,$R$2:$R$10,E1103)</f>
        <v>0.05</v>
      </c>
      <c r="L1103" s="1">
        <f>SUMIFS($V$2:$V$10,$R$2:$R$10,F1103)</f>
        <v>0.09</v>
      </c>
      <c r="M1103" s="1">
        <f>SUMIFS($T$2:$T$10,$R$2:$R$10,D1103)</f>
        <v>0.49</v>
      </c>
    </row>
    <row r="1104" spans="1:13" x14ac:dyDescent="0.25">
      <c r="A1104" s="1">
        <f>(A$2+A$2*K1104+A$2*L1104)*(1+M1104)</f>
        <v>836.90319999999997</v>
      </c>
      <c r="B1104" s="1">
        <f>(B$2+B$2*K1104+B$2*L1104)*(1+M1104)</f>
        <v>973.43190000000004</v>
      </c>
      <c r="C1104" s="1">
        <f>(C$2+C$2*K1104+C$2*L1104)*(1+M1104)</f>
        <v>1023.0787</v>
      </c>
      <c r="D1104" s="1">
        <v>9</v>
      </c>
      <c r="E1104" s="1">
        <v>9</v>
      </c>
      <c r="F1104" s="1">
        <v>4</v>
      </c>
      <c r="G1104" s="1">
        <f>SUMIFS($S$2:$S$10,$R$2:$R$10,D1104)</f>
        <v>34</v>
      </c>
      <c r="H1104" s="1">
        <f>SUMIFS($S$2:$S$10,$R$2:$R$10,E1104)</f>
        <v>34</v>
      </c>
      <c r="I1104" s="1">
        <f>SUMIFS($S$2:$S$10,$R$2:$R$10,F1104)</f>
        <v>7</v>
      </c>
      <c r="J1104" s="1">
        <f>SUM(G1104:I1104)</f>
        <v>75</v>
      </c>
      <c r="K1104" s="1">
        <f>SUMIFS($U$2:$U$10,$R$2:$R$10,E1104)</f>
        <v>0.15</v>
      </c>
      <c r="L1104" s="1">
        <f>SUMIFS($V$2:$V$10,$R$2:$R$10,F1104)</f>
        <v>0.04</v>
      </c>
      <c r="M1104" s="1">
        <f>SUMIFS($T$2:$T$10,$R$2:$R$10,D1104)</f>
        <v>0.49</v>
      </c>
    </row>
    <row r="1105" spans="1:13" x14ac:dyDescent="0.25">
      <c r="A1105" s="3">
        <f>(A$2+A$2*M1105+A$2*L1105)*(1+K1105)</f>
        <v>714.0415999999999</v>
      </c>
      <c r="B1105" s="3">
        <f>(B$2+B$2*M1105+B$2*L1105)*(1+K1105)</f>
        <v>830.52719999999999</v>
      </c>
      <c r="C1105" s="3">
        <f>(C$2+C$2*M1105+C$2*L1105)*(1+K1105)</f>
        <v>872.88559999999984</v>
      </c>
      <c r="D1105" s="3">
        <v>9</v>
      </c>
      <c r="E1105" s="3">
        <v>4</v>
      </c>
      <c r="F1105" s="3">
        <v>9</v>
      </c>
      <c r="G1105" s="3">
        <f>SUMIFS($S$2:$S$10,$R$2:$R$10,D1105)</f>
        <v>34</v>
      </c>
      <c r="H1105" s="3">
        <f>SUMIFS($S$2:$S$10,$R$2:$R$10,E1105)</f>
        <v>7</v>
      </c>
      <c r="I1105" s="3">
        <f>SUMIFS($S$2:$S$10,$R$2:$R$10,F1105)</f>
        <v>34</v>
      </c>
      <c r="J1105" s="3">
        <f>SUM(G1105:I1105)</f>
        <v>75</v>
      </c>
      <c r="K1105" s="3">
        <f>SUMIFS($T$2:$T$10,$R$2:$R$10,E1105)</f>
        <v>0.22</v>
      </c>
      <c r="L1105" s="3">
        <f>SUMIFS($V$2:$V$10,$R$2:$R$10,F1105)</f>
        <v>0.09</v>
      </c>
      <c r="M1105" s="3">
        <f>SUMIFS($U$2:$U$10,$R$2:$R$10,D1105)</f>
        <v>0.15</v>
      </c>
    </row>
    <row r="1106" spans="1:13" x14ac:dyDescent="0.25">
      <c r="A1106" s="3">
        <f>(A$2+A$2*M1106+A$2*L1106)*(1+K1106)</f>
        <v>836.90319999999997</v>
      </c>
      <c r="B1106" s="3">
        <f>(B$2+B$2*M1106+B$2*L1106)*(1+K1106)</f>
        <v>973.43190000000004</v>
      </c>
      <c r="C1106" s="3">
        <f>(C$2+C$2*M1106+C$2*L1106)*(1+K1106)</f>
        <v>1023.0787</v>
      </c>
      <c r="D1106" s="3">
        <v>9</v>
      </c>
      <c r="E1106" s="3">
        <v>9</v>
      </c>
      <c r="F1106" s="3">
        <v>4</v>
      </c>
      <c r="G1106" s="3">
        <f>SUMIFS($S$2:$S$10,$R$2:$R$10,D1106)</f>
        <v>34</v>
      </c>
      <c r="H1106" s="3">
        <f>SUMIFS($S$2:$S$10,$R$2:$R$10,E1106)</f>
        <v>34</v>
      </c>
      <c r="I1106" s="3">
        <f>SUMIFS($S$2:$S$10,$R$2:$R$10,F1106)</f>
        <v>7</v>
      </c>
      <c r="J1106" s="3">
        <f>SUM(G1106:I1106)</f>
        <v>75</v>
      </c>
      <c r="K1106" s="3">
        <f>SUMIFS($T$2:$T$10,$R$2:$R$10,E1106)</f>
        <v>0.49</v>
      </c>
      <c r="L1106" s="3">
        <f>SUMIFS($V$2:$V$10,$R$2:$R$10,F1106)</f>
        <v>0.04</v>
      </c>
      <c r="M1106" s="3">
        <f>SUMIFS($U$2:$U$10,$R$2:$R$10,D1106)</f>
        <v>0.15</v>
      </c>
    </row>
    <row r="1107" spans="1:13" x14ac:dyDescent="0.25">
      <c r="A1107" s="2">
        <f>(A$2+A$2*K1107+A$2*M1107)*(1+L1107)</f>
        <v>801.7392000000001</v>
      </c>
      <c r="B1107" s="2">
        <f>(B$2+B$2*K1107+B$2*M1107)*(1+L1107)</f>
        <v>932.53139999999996</v>
      </c>
      <c r="C1107" s="2">
        <f>(C$2+C$2*K1107+C$2*M1107)*(1+L1107)</f>
        <v>980.09219999999993</v>
      </c>
      <c r="D1107" s="2">
        <v>9</v>
      </c>
      <c r="E1107" s="2">
        <v>4</v>
      </c>
      <c r="F1107" s="2">
        <v>9</v>
      </c>
      <c r="G1107" s="2">
        <f>SUMIFS($S$2:$S$10,$R$2:$R$10,D1107)</f>
        <v>34</v>
      </c>
      <c r="H1107" s="2">
        <f>SUMIFS($S$2:$S$10,$R$2:$R$10,E1107)</f>
        <v>7</v>
      </c>
      <c r="I1107" s="2">
        <f>SUMIFS($S$2:$S$10,$R$2:$R$10,F1107)</f>
        <v>34</v>
      </c>
      <c r="J1107" s="2">
        <f>SUM(G1107:I1107)</f>
        <v>75</v>
      </c>
      <c r="K1107" s="2">
        <f>SUMIFS($U$2:$U$10,$R$2:$R$10,E1107)</f>
        <v>0.05</v>
      </c>
      <c r="L1107" s="2">
        <f>SUMIFS($T$2:$T$10,$R$2:$R$10,F1107)</f>
        <v>0.49</v>
      </c>
      <c r="M1107" s="2">
        <f>SUMIFS($V$2:$V$10,$R$2:$R$10,D1107)</f>
        <v>0.09</v>
      </c>
    </row>
    <row r="1108" spans="1:13" x14ac:dyDescent="0.25">
      <c r="A1108" s="2">
        <f>(A$2+A$2*K1108+A$2*M1108)*(1+L1108)</f>
        <v>714.0415999999999</v>
      </c>
      <c r="B1108" s="2">
        <f>(B$2+B$2*K1108+B$2*M1108)*(1+L1108)</f>
        <v>830.52719999999999</v>
      </c>
      <c r="C1108" s="2">
        <f>(C$2+C$2*K1108+C$2*M1108)*(1+L1108)</f>
        <v>872.88559999999984</v>
      </c>
      <c r="D1108" s="2">
        <v>9</v>
      </c>
      <c r="E1108" s="2">
        <v>9</v>
      </c>
      <c r="F1108" s="2">
        <v>4</v>
      </c>
      <c r="G1108" s="2">
        <f>SUMIFS($S$2:$S$10,$R$2:$R$10,D1108)</f>
        <v>34</v>
      </c>
      <c r="H1108" s="2">
        <f>SUMIFS($S$2:$S$10,$R$2:$R$10,E1108)</f>
        <v>34</v>
      </c>
      <c r="I1108" s="2">
        <f>SUMIFS($S$2:$S$10,$R$2:$R$10,F1108)</f>
        <v>7</v>
      </c>
      <c r="J1108" s="2">
        <f>SUM(G1108:I1108)</f>
        <v>75</v>
      </c>
      <c r="K1108" s="2">
        <f>SUMIFS($U$2:$U$10,$R$2:$R$10,E1108)</f>
        <v>0.15</v>
      </c>
      <c r="L1108" s="2">
        <f>SUMIFS($T$2:$T$10,$R$2:$R$10,F1108)</f>
        <v>0.22</v>
      </c>
      <c r="M1108" s="2">
        <f>SUMIFS($V$2:$V$10,$R$2:$R$10,D1108)</f>
        <v>0.09</v>
      </c>
    </row>
    <row r="1109" spans="1:13" x14ac:dyDescent="0.25">
      <c r="A1109" s="1">
        <f>(A$2+A$2*K1109+A$2*L1109)*(1+M1109)</f>
        <v>822.83759999999995</v>
      </c>
      <c r="B1109" s="1">
        <f>(B$2+B$2*K1109+B$2*L1109)*(1+M1109)</f>
        <v>957.07169999999985</v>
      </c>
      <c r="C1109" s="1">
        <f>(C$2+C$2*K1109+C$2*L1109)*(1+M1109)</f>
        <v>1005.8840999999999</v>
      </c>
      <c r="D1109" s="1">
        <v>9</v>
      </c>
      <c r="E1109" s="1">
        <v>6</v>
      </c>
      <c r="F1109" s="1">
        <v>8</v>
      </c>
      <c r="G1109" s="1">
        <f>SUMIFS($S$2:$S$10,$R$2:$R$10,D1109)</f>
        <v>34</v>
      </c>
      <c r="H1109" s="1">
        <f>SUMIFS($S$2:$S$10,$R$2:$R$10,E1109)</f>
        <v>15</v>
      </c>
      <c r="I1109" s="1">
        <f>SUMIFS($S$2:$S$10,$R$2:$R$10,F1109)</f>
        <v>27</v>
      </c>
      <c r="J1109" s="1">
        <f>SUM(G1109:I1109)</f>
        <v>76</v>
      </c>
      <c r="K1109" s="1">
        <f>SUMIFS($U$2:$U$10,$R$2:$R$10,E1109)</f>
        <v>0.09</v>
      </c>
      <c r="L1109" s="1">
        <f>SUMIFS($V$2:$V$10,$R$2:$R$10,F1109)</f>
        <v>0.08</v>
      </c>
      <c r="M1109" s="1">
        <f>SUMIFS($T$2:$T$10,$R$2:$R$10,D1109)</f>
        <v>0.49</v>
      </c>
    </row>
    <row r="1110" spans="1:13" x14ac:dyDescent="0.25">
      <c r="A1110" s="1">
        <f>(A$2+A$2*K1110+A$2*L1110)*(1+M1110)</f>
        <v>836.90320000000008</v>
      </c>
      <c r="B1110" s="1">
        <f>(B$2+B$2*K1110+B$2*L1110)*(1+M1110)</f>
        <v>973.43189999999993</v>
      </c>
      <c r="C1110" s="1">
        <f>(C$2+C$2*K1110+C$2*L1110)*(1+M1110)</f>
        <v>1023.0787</v>
      </c>
      <c r="D1110" s="1">
        <v>9</v>
      </c>
      <c r="E1110" s="1">
        <v>8</v>
      </c>
      <c r="F1110" s="1">
        <v>6</v>
      </c>
      <c r="G1110" s="1">
        <f>SUMIFS($S$2:$S$10,$R$2:$R$10,D1110)</f>
        <v>34</v>
      </c>
      <c r="H1110" s="1">
        <f>SUMIFS($S$2:$S$10,$R$2:$R$10,E1110)</f>
        <v>27</v>
      </c>
      <c r="I1110" s="1">
        <f>SUMIFS($S$2:$S$10,$R$2:$R$10,F1110)</f>
        <v>15</v>
      </c>
      <c r="J1110" s="1">
        <f>SUM(G1110:I1110)</f>
        <v>76</v>
      </c>
      <c r="K1110" s="1">
        <f>SUMIFS($U$2:$U$10,$R$2:$R$10,E1110)</f>
        <v>0.13</v>
      </c>
      <c r="L1110" s="1">
        <f>SUMIFS($V$2:$V$10,$R$2:$R$10,F1110)</f>
        <v>0.06</v>
      </c>
      <c r="M1110" s="1">
        <f>SUMIFS($T$2:$T$10,$R$2:$R$10,D1110)</f>
        <v>0.49</v>
      </c>
    </row>
    <row r="1111" spans="1:13" x14ac:dyDescent="0.25">
      <c r="A1111" s="3">
        <f>(A$2+A$2*M1111+A$2*L1111)*(1+K1111)</f>
        <v>766.33920000000001</v>
      </c>
      <c r="B1111" s="3">
        <f>(B$2+B$2*M1111+B$2*L1111)*(1+K1111)</f>
        <v>891.35640000000001</v>
      </c>
      <c r="C1111" s="3">
        <f>(C$2+C$2*M1111+C$2*L1111)*(1+K1111)</f>
        <v>936.81719999999996</v>
      </c>
      <c r="D1111" s="3">
        <v>9</v>
      </c>
      <c r="E1111" s="3">
        <v>6</v>
      </c>
      <c r="F1111" s="3">
        <v>8</v>
      </c>
      <c r="G1111" s="3">
        <f>SUMIFS($S$2:$S$10,$R$2:$R$10,D1111)</f>
        <v>34</v>
      </c>
      <c r="H1111" s="3">
        <f>SUMIFS($S$2:$S$10,$R$2:$R$10,E1111)</f>
        <v>15</v>
      </c>
      <c r="I1111" s="3">
        <f>SUMIFS($S$2:$S$10,$R$2:$R$10,F1111)</f>
        <v>27</v>
      </c>
      <c r="J1111" s="3">
        <f>SUM(G1111:I1111)</f>
        <v>76</v>
      </c>
      <c r="K1111" s="3">
        <f>SUMIFS($T$2:$T$10,$R$2:$R$10,E1111)</f>
        <v>0.32</v>
      </c>
      <c r="L1111" s="3">
        <f>SUMIFS($V$2:$V$10,$R$2:$R$10,F1111)</f>
        <v>0.08</v>
      </c>
      <c r="M1111" s="3">
        <f>SUMIFS($U$2:$U$10,$R$2:$R$10,D1111)</f>
        <v>0.15</v>
      </c>
    </row>
    <row r="1112" spans="1:13" x14ac:dyDescent="0.25">
      <c r="A1112" s="3">
        <f>(A$2+A$2*M1112+A$2*L1112)*(1+K1112)</f>
        <v>816.70159999999998</v>
      </c>
      <c r="B1112" s="3">
        <f>(B$2+B$2*M1112+B$2*L1112)*(1+K1112)</f>
        <v>949.93469999999991</v>
      </c>
      <c r="C1112" s="3">
        <f>(C$2+C$2*M1112+C$2*L1112)*(1+K1112)</f>
        <v>998.3830999999999</v>
      </c>
      <c r="D1112" s="3">
        <v>9</v>
      </c>
      <c r="E1112" s="3">
        <v>8</v>
      </c>
      <c r="F1112" s="3">
        <v>6</v>
      </c>
      <c r="G1112" s="3">
        <f>SUMIFS($S$2:$S$10,$R$2:$R$10,D1112)</f>
        <v>34</v>
      </c>
      <c r="H1112" s="3">
        <f>SUMIFS($S$2:$S$10,$R$2:$R$10,E1112)</f>
        <v>27</v>
      </c>
      <c r="I1112" s="3">
        <f>SUMIFS($S$2:$S$10,$R$2:$R$10,F1112)</f>
        <v>15</v>
      </c>
      <c r="J1112" s="3">
        <f>SUM(G1112:I1112)</f>
        <v>76</v>
      </c>
      <c r="K1112" s="3">
        <f>SUMIFS($T$2:$T$10,$R$2:$R$10,E1112)</f>
        <v>0.43</v>
      </c>
      <c r="L1112" s="3">
        <f>SUMIFS($V$2:$V$10,$R$2:$R$10,F1112)</f>
        <v>0.06</v>
      </c>
      <c r="M1112" s="3">
        <f>SUMIFS($U$2:$U$10,$R$2:$R$10,D1112)</f>
        <v>0.15</v>
      </c>
    </row>
    <row r="1113" spans="1:13" x14ac:dyDescent="0.25">
      <c r="A1113" s="2">
        <f>(A$2+A$2*K1113+A$2*M1113)*(1+L1113)</f>
        <v>796.45280000000002</v>
      </c>
      <c r="B1113" s="2">
        <f>(B$2+B$2*K1113+B$2*M1113)*(1+L1113)</f>
        <v>926.38259999999991</v>
      </c>
      <c r="C1113" s="2">
        <f>(C$2+C$2*K1113+C$2*M1113)*(1+L1113)</f>
        <v>973.62979999999982</v>
      </c>
      <c r="D1113" s="2">
        <v>9</v>
      </c>
      <c r="E1113" s="2">
        <v>6</v>
      </c>
      <c r="F1113" s="2">
        <v>8</v>
      </c>
      <c r="G1113" s="2">
        <f>SUMIFS($S$2:$S$10,$R$2:$R$10,D1113)</f>
        <v>34</v>
      </c>
      <c r="H1113" s="2">
        <f>SUMIFS($S$2:$S$10,$R$2:$R$10,E1113)</f>
        <v>15</v>
      </c>
      <c r="I1113" s="2">
        <f>SUMIFS($S$2:$S$10,$R$2:$R$10,F1113)</f>
        <v>27</v>
      </c>
      <c r="J1113" s="2">
        <f>SUM(G1113:I1113)</f>
        <v>76</v>
      </c>
      <c r="K1113" s="2">
        <f>SUMIFS($U$2:$U$10,$R$2:$R$10,E1113)</f>
        <v>0.09</v>
      </c>
      <c r="L1113" s="2">
        <f>SUMIFS($T$2:$T$10,$R$2:$R$10,F1113)</f>
        <v>0.43</v>
      </c>
      <c r="M1113" s="2">
        <f>SUMIFS($V$2:$V$10,$R$2:$R$10,D1113)</f>
        <v>0.09</v>
      </c>
    </row>
    <row r="1114" spans="1:13" x14ac:dyDescent="0.25">
      <c r="A1114" s="2">
        <f>(A$2+A$2*K1114+A$2*M1114)*(1+L1114)</f>
        <v>760.10880000000009</v>
      </c>
      <c r="B1114" s="2">
        <f>(B$2+B$2*K1114+B$2*M1114)*(1+L1114)</f>
        <v>884.1096</v>
      </c>
      <c r="C1114" s="2">
        <f>(C$2+C$2*K1114+C$2*M1114)*(1+L1114)</f>
        <v>929.20079999999996</v>
      </c>
      <c r="D1114" s="2">
        <v>9</v>
      </c>
      <c r="E1114" s="2">
        <v>8</v>
      </c>
      <c r="F1114" s="2">
        <v>6</v>
      </c>
      <c r="G1114" s="2">
        <f>SUMIFS($S$2:$S$10,$R$2:$R$10,D1114)</f>
        <v>34</v>
      </c>
      <c r="H1114" s="2">
        <f>SUMIFS($S$2:$S$10,$R$2:$R$10,E1114)</f>
        <v>27</v>
      </c>
      <c r="I1114" s="2">
        <f>SUMIFS($S$2:$S$10,$R$2:$R$10,F1114)</f>
        <v>15</v>
      </c>
      <c r="J1114" s="2">
        <f>SUM(G1114:I1114)</f>
        <v>76</v>
      </c>
      <c r="K1114" s="2">
        <f>SUMIFS($U$2:$U$10,$R$2:$R$10,E1114)</f>
        <v>0.13</v>
      </c>
      <c r="L1114" s="2">
        <f>SUMIFS($T$2:$T$10,$R$2:$R$10,F1114)</f>
        <v>0.32</v>
      </c>
      <c r="M1114" s="2">
        <f>SUMIFS($V$2:$V$10,$R$2:$R$10,D1114)</f>
        <v>0.09</v>
      </c>
    </row>
    <row r="1115" spans="1:13" x14ac:dyDescent="0.25">
      <c r="A1115" s="1">
        <f>(A$2+A$2*K1115+A$2*L1115)*(1+M1115)</f>
        <v>815.8048</v>
      </c>
      <c r="B1115" s="1">
        <f>(B$2+B$2*K1115+B$2*L1115)*(1+M1115)</f>
        <v>948.89160000000004</v>
      </c>
      <c r="C1115" s="1">
        <f>(C$2+C$2*K1115+C$2*L1115)*(1+M1115)</f>
        <v>997.28679999999986</v>
      </c>
      <c r="D1115" s="1">
        <v>9</v>
      </c>
      <c r="E1115" s="1">
        <v>5</v>
      </c>
      <c r="F1115" s="1">
        <v>9</v>
      </c>
      <c r="G1115" s="1">
        <f>SUMIFS($S$2:$S$10,$R$2:$R$10,D1115)</f>
        <v>34</v>
      </c>
      <c r="H1115" s="1">
        <f>SUMIFS($S$2:$S$10,$R$2:$R$10,E1115)</f>
        <v>10</v>
      </c>
      <c r="I1115" s="1">
        <f>SUMIFS($S$2:$S$10,$R$2:$R$10,F1115)</f>
        <v>34</v>
      </c>
      <c r="J1115" s="1">
        <f>SUM(G1115:I1115)</f>
        <v>78</v>
      </c>
      <c r="K1115" s="1">
        <f>SUMIFS($U$2:$U$10,$R$2:$R$10,E1115)</f>
        <v>7.0000000000000007E-2</v>
      </c>
      <c r="L1115" s="1">
        <f>SUMIFS($V$2:$V$10,$R$2:$R$10,F1115)</f>
        <v>0.09</v>
      </c>
      <c r="M1115" s="1">
        <f>SUMIFS($T$2:$T$10,$R$2:$R$10,D1115)</f>
        <v>0.49</v>
      </c>
    </row>
    <row r="1116" spans="1:13" x14ac:dyDescent="0.25">
      <c r="A1116" s="1">
        <f>(A$2+A$2*K1116+A$2*L1116)*(1+M1116)</f>
        <v>843.93599999999992</v>
      </c>
      <c r="B1116" s="1">
        <f>(B$2+B$2*K1116+B$2*L1116)*(1+M1116)</f>
        <v>981.61200000000008</v>
      </c>
      <c r="C1116" s="1">
        <f>(C$2+C$2*K1116+C$2*L1116)*(1+M1116)</f>
        <v>1031.6759999999999</v>
      </c>
      <c r="D1116" s="1">
        <v>9</v>
      </c>
      <c r="E1116" s="1">
        <v>9</v>
      </c>
      <c r="F1116" s="1">
        <v>5</v>
      </c>
      <c r="G1116" s="1">
        <f>SUMIFS($S$2:$S$10,$R$2:$R$10,D1116)</f>
        <v>34</v>
      </c>
      <c r="H1116" s="1">
        <f>SUMIFS($S$2:$S$10,$R$2:$R$10,E1116)</f>
        <v>34</v>
      </c>
      <c r="I1116" s="1">
        <f>SUMIFS($S$2:$S$10,$R$2:$R$10,F1116)</f>
        <v>10</v>
      </c>
      <c r="J1116" s="1">
        <f>SUM(G1116:I1116)</f>
        <v>78</v>
      </c>
      <c r="K1116" s="1">
        <f>SUMIFS($U$2:$U$10,$R$2:$R$10,E1116)</f>
        <v>0.15</v>
      </c>
      <c r="L1116" s="1">
        <f>SUMIFS($V$2:$V$10,$R$2:$R$10,F1116)</f>
        <v>0.05</v>
      </c>
      <c r="M1116" s="1">
        <f>SUMIFS($T$2:$T$10,$R$2:$R$10,D1116)</f>
        <v>0.49</v>
      </c>
    </row>
    <row r="1117" spans="1:13" x14ac:dyDescent="0.25">
      <c r="A1117" s="3">
        <f>(A$2+A$2*M1117+A$2*L1117)*(1+K1117)</f>
        <v>743.30560000000003</v>
      </c>
      <c r="B1117" s="3">
        <f>(B$2+B$2*M1117+B$2*L1117)*(1+K1117)</f>
        <v>864.5652</v>
      </c>
      <c r="C1117" s="3">
        <f>(C$2+C$2*M1117+C$2*L1117)*(1+K1117)</f>
        <v>908.65959999999984</v>
      </c>
      <c r="D1117" s="3">
        <v>9</v>
      </c>
      <c r="E1117" s="3">
        <v>5</v>
      </c>
      <c r="F1117" s="3">
        <v>9</v>
      </c>
      <c r="G1117" s="3">
        <f>SUMIFS($S$2:$S$10,$R$2:$R$10,D1117)</f>
        <v>34</v>
      </c>
      <c r="H1117" s="3">
        <f>SUMIFS($S$2:$S$10,$R$2:$R$10,E1117)</f>
        <v>10</v>
      </c>
      <c r="I1117" s="3">
        <f>SUMIFS($S$2:$S$10,$R$2:$R$10,F1117)</f>
        <v>34</v>
      </c>
      <c r="J1117" s="3">
        <f>SUM(G1117:I1117)</f>
        <v>78</v>
      </c>
      <c r="K1117" s="3">
        <f>SUMIFS($T$2:$T$10,$R$2:$R$10,E1117)</f>
        <v>0.27</v>
      </c>
      <c r="L1117" s="3">
        <f>SUMIFS($V$2:$V$10,$R$2:$R$10,F1117)</f>
        <v>0.09</v>
      </c>
      <c r="M1117" s="3">
        <f>SUMIFS($U$2:$U$10,$R$2:$R$10,D1117)</f>
        <v>0.15</v>
      </c>
    </row>
    <row r="1118" spans="1:13" x14ac:dyDescent="0.25">
      <c r="A1118" s="3">
        <f>(A$2+A$2*M1118+A$2*L1118)*(1+K1118)</f>
        <v>843.93599999999992</v>
      </c>
      <c r="B1118" s="3">
        <f>(B$2+B$2*M1118+B$2*L1118)*(1+K1118)</f>
        <v>981.61200000000008</v>
      </c>
      <c r="C1118" s="3">
        <f>(C$2+C$2*M1118+C$2*L1118)*(1+K1118)</f>
        <v>1031.6759999999999</v>
      </c>
      <c r="D1118" s="3">
        <v>9</v>
      </c>
      <c r="E1118" s="3">
        <v>9</v>
      </c>
      <c r="F1118" s="3">
        <v>5</v>
      </c>
      <c r="G1118" s="3">
        <f>SUMIFS($S$2:$S$10,$R$2:$R$10,D1118)</f>
        <v>34</v>
      </c>
      <c r="H1118" s="3">
        <f>SUMIFS($S$2:$S$10,$R$2:$R$10,E1118)</f>
        <v>34</v>
      </c>
      <c r="I1118" s="3">
        <f>SUMIFS($S$2:$S$10,$R$2:$R$10,F1118)</f>
        <v>10</v>
      </c>
      <c r="J1118" s="3">
        <f>SUM(G1118:I1118)</f>
        <v>78</v>
      </c>
      <c r="K1118" s="3">
        <f>SUMIFS($T$2:$T$10,$R$2:$R$10,E1118)</f>
        <v>0.49</v>
      </c>
      <c r="L1118" s="3">
        <f>SUMIFS($V$2:$V$10,$R$2:$R$10,F1118)</f>
        <v>0.05</v>
      </c>
      <c r="M1118" s="3">
        <f>SUMIFS($U$2:$U$10,$R$2:$R$10,D1118)</f>
        <v>0.15</v>
      </c>
    </row>
    <row r="1119" spans="1:13" x14ac:dyDescent="0.25">
      <c r="A1119" s="2">
        <f>(A$2+A$2*K1119+A$2*M1119)*(1+L1119)</f>
        <v>815.8048</v>
      </c>
      <c r="B1119" s="2">
        <f>(B$2+B$2*K1119+B$2*M1119)*(1+L1119)</f>
        <v>948.89160000000004</v>
      </c>
      <c r="C1119" s="2">
        <f>(C$2+C$2*K1119+C$2*M1119)*(1+L1119)</f>
        <v>997.28679999999986</v>
      </c>
      <c r="D1119" s="2">
        <v>9</v>
      </c>
      <c r="E1119" s="2">
        <v>5</v>
      </c>
      <c r="F1119" s="2">
        <v>9</v>
      </c>
      <c r="G1119" s="2">
        <f>SUMIFS($S$2:$S$10,$R$2:$R$10,D1119)</f>
        <v>34</v>
      </c>
      <c r="H1119" s="2">
        <f>SUMIFS($S$2:$S$10,$R$2:$R$10,E1119)</f>
        <v>10</v>
      </c>
      <c r="I1119" s="2">
        <f>SUMIFS($S$2:$S$10,$R$2:$R$10,F1119)</f>
        <v>34</v>
      </c>
      <c r="J1119" s="2">
        <f>SUM(G1119:I1119)</f>
        <v>78</v>
      </c>
      <c r="K1119" s="2">
        <f>SUMIFS($U$2:$U$10,$R$2:$R$10,E1119)</f>
        <v>7.0000000000000007E-2</v>
      </c>
      <c r="L1119" s="2">
        <f>SUMIFS($T$2:$T$10,$R$2:$R$10,F1119)</f>
        <v>0.49</v>
      </c>
      <c r="M1119" s="2">
        <f>SUMIFS($V$2:$V$10,$R$2:$R$10,D1119)</f>
        <v>0.09</v>
      </c>
    </row>
    <row r="1120" spans="1:13" x14ac:dyDescent="0.25">
      <c r="A1120" s="2">
        <f>(A$2+A$2*K1120+A$2*M1120)*(1+L1120)</f>
        <v>743.30560000000003</v>
      </c>
      <c r="B1120" s="2">
        <f>(B$2+B$2*K1120+B$2*M1120)*(1+L1120)</f>
        <v>864.5652</v>
      </c>
      <c r="C1120" s="2">
        <f>(C$2+C$2*K1120+C$2*M1120)*(1+L1120)</f>
        <v>908.65959999999984</v>
      </c>
      <c r="D1120" s="2">
        <v>9</v>
      </c>
      <c r="E1120" s="2">
        <v>9</v>
      </c>
      <c r="F1120" s="2">
        <v>5</v>
      </c>
      <c r="G1120" s="2">
        <f>SUMIFS($S$2:$S$10,$R$2:$R$10,D1120)</f>
        <v>34</v>
      </c>
      <c r="H1120" s="2">
        <f>SUMIFS($S$2:$S$10,$R$2:$R$10,E1120)</f>
        <v>34</v>
      </c>
      <c r="I1120" s="2">
        <f>SUMIFS($S$2:$S$10,$R$2:$R$10,F1120)</f>
        <v>10</v>
      </c>
      <c r="J1120" s="2">
        <f>SUM(G1120:I1120)</f>
        <v>78</v>
      </c>
      <c r="K1120" s="2">
        <f>SUMIFS($U$2:$U$10,$R$2:$R$10,E1120)</f>
        <v>0.15</v>
      </c>
      <c r="L1120" s="2">
        <f>SUMIFS($T$2:$T$10,$R$2:$R$10,F1120)</f>
        <v>0.27</v>
      </c>
      <c r="M1120" s="2">
        <f>SUMIFS($V$2:$V$10,$R$2:$R$10,D1120)</f>
        <v>0.09</v>
      </c>
    </row>
    <row r="1121" spans="1:13" x14ac:dyDescent="0.25">
      <c r="A1121" s="1">
        <f>(A$2+A$2*K1121+A$2*L1121)*(1+M1121)</f>
        <v>816.70159999999998</v>
      </c>
      <c r="B1121" s="1">
        <f>(B$2+B$2*K1121+B$2*L1121)*(1+M1121)</f>
        <v>949.93469999999991</v>
      </c>
      <c r="C1121" s="1">
        <f>(C$2+C$2*K1121+C$2*L1121)*(1+M1121)</f>
        <v>998.3830999999999</v>
      </c>
      <c r="D1121" s="1">
        <v>8</v>
      </c>
      <c r="E1121" s="1">
        <v>8</v>
      </c>
      <c r="F1121" s="1">
        <v>8</v>
      </c>
      <c r="G1121" s="1">
        <f>SUMIFS($S$2:$S$10,$R$2:$R$10,D1121)</f>
        <v>27</v>
      </c>
      <c r="H1121" s="1">
        <f>SUMIFS($S$2:$S$10,$R$2:$R$10,E1121)</f>
        <v>27</v>
      </c>
      <c r="I1121" s="1">
        <f>SUMIFS($S$2:$S$10,$R$2:$R$10,F1121)</f>
        <v>27</v>
      </c>
      <c r="J1121" s="1">
        <f>SUM(G1121:I1121)</f>
        <v>81</v>
      </c>
      <c r="K1121" s="1">
        <f>SUMIFS($U$2:$U$10,$R$2:$R$10,E1121)</f>
        <v>0.13</v>
      </c>
      <c r="L1121" s="1">
        <f>SUMIFS($V$2:$V$10,$R$2:$R$10,F1121)</f>
        <v>0.08</v>
      </c>
      <c r="M1121" s="1">
        <f>SUMIFS($T$2:$T$10,$R$2:$R$10,D1121)</f>
        <v>0.43</v>
      </c>
    </row>
    <row r="1122" spans="1:13" x14ac:dyDescent="0.25">
      <c r="A1122" s="1">
        <f>(A$2+A$2*K1122+A$2*L1122)*(1+M1122)</f>
        <v>836.90319999999997</v>
      </c>
      <c r="B1122" s="1">
        <f>(B$2+B$2*K1122+B$2*L1122)*(1+M1122)</f>
        <v>973.43189999999993</v>
      </c>
      <c r="C1122" s="1">
        <f>(C$2+C$2*K1122+C$2*L1122)*(1+M1122)</f>
        <v>1023.0787</v>
      </c>
      <c r="D1122" s="1">
        <v>9</v>
      </c>
      <c r="E1122" s="1">
        <v>7</v>
      </c>
      <c r="F1122" s="1">
        <v>8</v>
      </c>
      <c r="G1122" s="1">
        <f>SUMIFS($S$2:$S$10,$R$2:$R$10,D1122)</f>
        <v>34</v>
      </c>
      <c r="H1122" s="1">
        <f>SUMIFS($S$2:$S$10,$R$2:$R$10,E1122)</f>
        <v>20</v>
      </c>
      <c r="I1122" s="1">
        <f>SUMIFS($S$2:$S$10,$R$2:$R$10,F1122)</f>
        <v>27</v>
      </c>
      <c r="J1122" s="1">
        <f>SUM(G1122:I1122)</f>
        <v>81</v>
      </c>
      <c r="K1122" s="1">
        <f>SUMIFS($U$2:$U$10,$R$2:$R$10,E1122)</f>
        <v>0.11</v>
      </c>
      <c r="L1122" s="1">
        <f>SUMIFS($V$2:$V$10,$R$2:$R$10,F1122)</f>
        <v>0.08</v>
      </c>
      <c r="M1122" s="1">
        <f>SUMIFS($T$2:$T$10,$R$2:$R$10,D1122)</f>
        <v>0.49</v>
      </c>
    </row>
    <row r="1123" spans="1:13" x14ac:dyDescent="0.25">
      <c r="A1123" s="1">
        <f>(A$2+A$2*K1123+A$2*L1123)*(1+M1123)</f>
        <v>843.93599999999992</v>
      </c>
      <c r="B1123" s="1">
        <f>(B$2+B$2*K1123+B$2*L1123)*(1+M1123)</f>
        <v>981.61199999999997</v>
      </c>
      <c r="C1123" s="1">
        <f>(C$2+C$2*K1123+C$2*L1123)*(1+M1123)</f>
        <v>1031.6759999999999</v>
      </c>
      <c r="D1123" s="1">
        <v>9</v>
      </c>
      <c r="E1123" s="1">
        <v>8</v>
      </c>
      <c r="F1123" s="1">
        <v>7</v>
      </c>
      <c r="G1123" s="1">
        <f>SUMIFS($S$2:$S$10,$R$2:$R$10,D1123)</f>
        <v>34</v>
      </c>
      <c r="H1123" s="1">
        <f>SUMIFS($S$2:$S$10,$R$2:$R$10,E1123)</f>
        <v>27</v>
      </c>
      <c r="I1123" s="1">
        <f>SUMIFS($S$2:$S$10,$R$2:$R$10,F1123)</f>
        <v>20</v>
      </c>
      <c r="J1123" s="1">
        <f>SUM(G1123:I1123)</f>
        <v>81</v>
      </c>
      <c r="K1123" s="1">
        <f>SUMIFS($U$2:$U$10,$R$2:$R$10,E1123)</f>
        <v>0.13</v>
      </c>
      <c r="L1123" s="1">
        <f>SUMIFS($V$2:$V$10,$R$2:$R$10,F1123)</f>
        <v>7.0000000000000007E-2</v>
      </c>
      <c r="M1123" s="1">
        <f>SUMIFS($T$2:$T$10,$R$2:$R$10,D1123)</f>
        <v>0.49</v>
      </c>
    </row>
    <row r="1124" spans="1:13" x14ac:dyDescent="0.25">
      <c r="A1124" s="3">
        <f>(A$2+A$2*M1124+A$2*L1124)*(1+K1124)</f>
        <v>816.70159999999998</v>
      </c>
      <c r="B1124" s="3">
        <f>(B$2+B$2*M1124+B$2*L1124)*(1+K1124)</f>
        <v>949.93469999999991</v>
      </c>
      <c r="C1124" s="3">
        <f>(C$2+C$2*M1124+C$2*L1124)*(1+K1124)</f>
        <v>998.3830999999999</v>
      </c>
      <c r="D1124" s="3">
        <v>8</v>
      </c>
      <c r="E1124" s="3">
        <v>8</v>
      </c>
      <c r="F1124" s="3">
        <v>8</v>
      </c>
      <c r="G1124" s="3">
        <f>SUMIFS($S$2:$S$10,$R$2:$R$10,D1124)</f>
        <v>27</v>
      </c>
      <c r="H1124" s="3">
        <f>SUMIFS($S$2:$S$10,$R$2:$R$10,E1124)</f>
        <v>27</v>
      </c>
      <c r="I1124" s="3">
        <f>SUMIFS($S$2:$S$10,$R$2:$R$10,F1124)</f>
        <v>27</v>
      </c>
      <c r="J1124" s="3">
        <f>SUM(G1124:I1124)</f>
        <v>81</v>
      </c>
      <c r="K1124" s="3">
        <f>SUMIFS($T$2:$T$10,$R$2:$R$10,E1124)</f>
        <v>0.43</v>
      </c>
      <c r="L1124" s="3">
        <f>SUMIFS($V$2:$V$10,$R$2:$R$10,F1124)</f>
        <v>0.08</v>
      </c>
      <c r="M1124" s="3">
        <f>SUMIFS($U$2:$U$10,$R$2:$R$10,D1124)</f>
        <v>0.13</v>
      </c>
    </row>
    <row r="1125" spans="1:13" x14ac:dyDescent="0.25">
      <c r="A1125" s="3">
        <f>(A$2+A$2*M1125+A$2*L1125)*(1+K1125)</f>
        <v>795.36720000000003</v>
      </c>
      <c r="B1125" s="3">
        <f>(B$2+B$2*M1125+B$2*L1125)*(1+K1125)</f>
        <v>925.11990000000003</v>
      </c>
      <c r="C1125" s="3">
        <f>(C$2+C$2*M1125+C$2*L1125)*(1+K1125)</f>
        <v>972.30269999999996</v>
      </c>
      <c r="D1125" s="3">
        <v>9</v>
      </c>
      <c r="E1125" s="3">
        <v>7</v>
      </c>
      <c r="F1125" s="3">
        <v>8</v>
      </c>
      <c r="G1125" s="3">
        <f>SUMIFS($S$2:$S$10,$R$2:$R$10,D1125)</f>
        <v>34</v>
      </c>
      <c r="H1125" s="3">
        <f>SUMIFS($S$2:$S$10,$R$2:$R$10,E1125)</f>
        <v>20</v>
      </c>
      <c r="I1125" s="3">
        <f>SUMIFS($S$2:$S$10,$R$2:$R$10,F1125)</f>
        <v>27</v>
      </c>
      <c r="J1125" s="3">
        <f>SUM(G1125:I1125)</f>
        <v>81</v>
      </c>
      <c r="K1125" s="3">
        <f>SUMIFS($T$2:$T$10,$R$2:$R$10,E1125)</f>
        <v>0.37</v>
      </c>
      <c r="L1125" s="3">
        <f>SUMIFS($V$2:$V$10,$R$2:$R$10,F1125)</f>
        <v>0.08</v>
      </c>
      <c r="M1125" s="3">
        <f>SUMIFS($U$2:$U$10,$R$2:$R$10,D1125)</f>
        <v>0.15</v>
      </c>
    </row>
    <row r="1126" spans="1:13" x14ac:dyDescent="0.25">
      <c r="A1126" s="3">
        <f>(A$2+A$2*M1126+A$2*L1126)*(1+K1126)</f>
        <v>823.45119999999986</v>
      </c>
      <c r="B1126" s="3">
        <f>(B$2+B$2*M1126+B$2*L1126)*(1+K1126)</f>
        <v>957.78539999999987</v>
      </c>
      <c r="C1126" s="3">
        <f>(C$2+C$2*M1126+C$2*L1126)*(1+K1126)</f>
        <v>1006.6341999999999</v>
      </c>
      <c r="D1126" s="3">
        <v>9</v>
      </c>
      <c r="E1126" s="3">
        <v>8</v>
      </c>
      <c r="F1126" s="3">
        <v>7</v>
      </c>
      <c r="G1126" s="3">
        <f>SUMIFS($S$2:$S$10,$R$2:$R$10,D1126)</f>
        <v>34</v>
      </c>
      <c r="H1126" s="3">
        <f>SUMIFS($S$2:$S$10,$R$2:$R$10,E1126)</f>
        <v>27</v>
      </c>
      <c r="I1126" s="3">
        <f>SUMIFS($S$2:$S$10,$R$2:$R$10,F1126)</f>
        <v>20</v>
      </c>
      <c r="J1126" s="3">
        <f>SUM(G1126:I1126)</f>
        <v>81</v>
      </c>
      <c r="K1126" s="3">
        <f>SUMIFS($T$2:$T$10,$R$2:$R$10,E1126)</f>
        <v>0.43</v>
      </c>
      <c r="L1126" s="3">
        <f>SUMIFS($V$2:$V$10,$R$2:$R$10,F1126)</f>
        <v>7.0000000000000007E-2</v>
      </c>
      <c r="M1126" s="3">
        <f>SUMIFS($U$2:$U$10,$R$2:$R$10,D1126)</f>
        <v>0.15</v>
      </c>
    </row>
    <row r="1127" spans="1:13" x14ac:dyDescent="0.25">
      <c r="A1127" s="2">
        <f>(A$2+A$2*K1127+A$2*M1127)*(1+L1127)</f>
        <v>816.70159999999998</v>
      </c>
      <c r="B1127" s="2">
        <f>(B$2+B$2*K1127+B$2*M1127)*(1+L1127)</f>
        <v>949.93469999999991</v>
      </c>
      <c r="C1127" s="2">
        <f>(C$2+C$2*K1127+C$2*M1127)*(1+L1127)</f>
        <v>998.3830999999999</v>
      </c>
      <c r="D1127" s="2">
        <v>8</v>
      </c>
      <c r="E1127" s="2">
        <v>8</v>
      </c>
      <c r="F1127" s="2">
        <v>8</v>
      </c>
      <c r="G1127" s="2">
        <f>SUMIFS($S$2:$S$10,$R$2:$R$10,D1127)</f>
        <v>27</v>
      </c>
      <c r="H1127" s="2">
        <f>SUMIFS($S$2:$S$10,$R$2:$R$10,E1127)</f>
        <v>27</v>
      </c>
      <c r="I1127" s="2">
        <f>SUMIFS($S$2:$S$10,$R$2:$R$10,F1127)</f>
        <v>27</v>
      </c>
      <c r="J1127" s="2">
        <f>SUM(G1127:I1127)</f>
        <v>81</v>
      </c>
      <c r="K1127" s="2">
        <f>SUMIFS($U$2:$U$10,$R$2:$R$10,E1127)</f>
        <v>0.13</v>
      </c>
      <c r="L1127" s="2">
        <f>SUMIFS($T$2:$T$10,$R$2:$R$10,F1127)</f>
        <v>0.43</v>
      </c>
      <c r="M1127" s="2">
        <f>SUMIFS($V$2:$V$10,$R$2:$R$10,D1127)</f>
        <v>0.08</v>
      </c>
    </row>
    <row r="1128" spans="1:13" x14ac:dyDescent="0.25">
      <c r="A1128" s="2">
        <f>(A$2+A$2*K1128+A$2*M1128)*(1+L1128)</f>
        <v>809.95199999999988</v>
      </c>
      <c r="B1128" s="2">
        <f>(B$2+B$2*K1128+B$2*M1128)*(1+L1128)</f>
        <v>942.08399999999995</v>
      </c>
      <c r="C1128" s="2">
        <f>(C$2+C$2*K1128+C$2*M1128)*(1+L1128)</f>
        <v>990.13199999999995</v>
      </c>
      <c r="D1128" s="2">
        <v>9</v>
      </c>
      <c r="E1128" s="2">
        <v>7</v>
      </c>
      <c r="F1128" s="2">
        <v>8</v>
      </c>
      <c r="G1128" s="2">
        <f>SUMIFS($S$2:$S$10,$R$2:$R$10,D1128)</f>
        <v>34</v>
      </c>
      <c r="H1128" s="2">
        <f>SUMIFS($S$2:$S$10,$R$2:$R$10,E1128)</f>
        <v>20</v>
      </c>
      <c r="I1128" s="2">
        <f>SUMIFS($S$2:$S$10,$R$2:$R$10,F1128)</f>
        <v>27</v>
      </c>
      <c r="J1128" s="2">
        <f>SUM(G1128:I1128)</f>
        <v>81</v>
      </c>
      <c r="K1128" s="2">
        <f>SUMIFS($U$2:$U$10,$R$2:$R$10,E1128)</f>
        <v>0.11</v>
      </c>
      <c r="L1128" s="2">
        <f>SUMIFS($T$2:$T$10,$R$2:$R$10,F1128)</f>
        <v>0.43</v>
      </c>
      <c r="M1128" s="2">
        <f>SUMIFS($V$2:$V$10,$R$2:$R$10,D1128)</f>
        <v>0.09</v>
      </c>
    </row>
    <row r="1129" spans="1:13" x14ac:dyDescent="0.25">
      <c r="A1129" s="2">
        <f>(A$2+A$2*K1129+A$2*M1129)*(1+L1129)</f>
        <v>788.90080000000012</v>
      </c>
      <c r="B1129" s="2">
        <f>(B$2+B$2*K1129+B$2*M1129)*(1+L1129)</f>
        <v>917.59860000000003</v>
      </c>
      <c r="C1129" s="2">
        <f>(C$2+C$2*K1129+C$2*M1129)*(1+L1129)</f>
        <v>964.39779999999996</v>
      </c>
      <c r="D1129" s="2">
        <v>9</v>
      </c>
      <c r="E1129" s="2">
        <v>8</v>
      </c>
      <c r="F1129" s="2">
        <v>7</v>
      </c>
      <c r="G1129" s="2">
        <f>SUMIFS($S$2:$S$10,$R$2:$R$10,D1129)</f>
        <v>34</v>
      </c>
      <c r="H1129" s="2">
        <f>SUMIFS($S$2:$S$10,$R$2:$R$10,E1129)</f>
        <v>27</v>
      </c>
      <c r="I1129" s="2">
        <f>SUMIFS($S$2:$S$10,$R$2:$R$10,F1129)</f>
        <v>20</v>
      </c>
      <c r="J1129" s="2">
        <f>SUM(G1129:I1129)</f>
        <v>81</v>
      </c>
      <c r="K1129" s="2">
        <f>SUMIFS($U$2:$U$10,$R$2:$R$10,E1129)</f>
        <v>0.13</v>
      </c>
      <c r="L1129" s="2">
        <f>SUMIFS($T$2:$T$10,$R$2:$R$10,F1129)</f>
        <v>0.37</v>
      </c>
      <c r="M1129" s="2">
        <f>SUMIFS($V$2:$V$10,$R$2:$R$10,D1129)</f>
        <v>0.09</v>
      </c>
    </row>
    <row r="1130" spans="1:13" x14ac:dyDescent="0.25">
      <c r="A1130" s="1">
        <f>(A$2+A$2*K1130+A$2*L1130)*(1+M1130)</f>
        <v>829.87040000000002</v>
      </c>
      <c r="B1130" s="1">
        <f>(B$2+B$2*K1130+B$2*L1130)*(1+M1130)</f>
        <v>965.25179999999989</v>
      </c>
      <c r="C1130" s="1">
        <f>(C$2+C$2*K1130+C$2*L1130)*(1+M1130)</f>
        <v>1014.4813999999999</v>
      </c>
      <c r="D1130" s="1">
        <v>9</v>
      </c>
      <c r="E1130" s="1">
        <v>6</v>
      </c>
      <c r="F1130" s="1">
        <v>9</v>
      </c>
      <c r="G1130" s="1">
        <f>SUMIFS($S$2:$S$10,$R$2:$R$10,D1130)</f>
        <v>34</v>
      </c>
      <c r="H1130" s="1">
        <f>SUMIFS($S$2:$S$10,$R$2:$R$10,E1130)</f>
        <v>15</v>
      </c>
      <c r="I1130" s="1">
        <f>SUMIFS($S$2:$S$10,$R$2:$R$10,F1130)</f>
        <v>34</v>
      </c>
      <c r="J1130" s="1">
        <f>SUM(G1130:I1130)</f>
        <v>83</v>
      </c>
      <c r="K1130" s="1">
        <f>SUMIFS($U$2:$U$10,$R$2:$R$10,E1130)</f>
        <v>0.09</v>
      </c>
      <c r="L1130" s="1">
        <f>SUMIFS($V$2:$V$10,$R$2:$R$10,F1130)</f>
        <v>0.09</v>
      </c>
      <c r="M1130" s="1">
        <f>SUMIFS($T$2:$T$10,$R$2:$R$10,D1130)</f>
        <v>0.49</v>
      </c>
    </row>
    <row r="1131" spans="1:13" x14ac:dyDescent="0.25">
      <c r="A1131" s="1">
        <f>(A$2+A$2*K1131+A$2*L1131)*(1+M1131)</f>
        <v>850.96879999999999</v>
      </c>
      <c r="B1131" s="1">
        <f>(B$2+B$2*K1131+B$2*L1131)*(1+M1131)</f>
        <v>989.79209999999989</v>
      </c>
      <c r="C1131" s="1">
        <f>(C$2+C$2*K1131+C$2*L1131)*(1+M1131)</f>
        <v>1040.2732999999998</v>
      </c>
      <c r="D1131" s="1">
        <v>9</v>
      </c>
      <c r="E1131" s="1">
        <v>9</v>
      </c>
      <c r="F1131" s="1">
        <v>6</v>
      </c>
      <c r="G1131" s="1">
        <f>SUMIFS($S$2:$S$10,$R$2:$R$10,D1131)</f>
        <v>34</v>
      </c>
      <c r="H1131" s="1">
        <f>SUMIFS($S$2:$S$10,$R$2:$R$10,E1131)</f>
        <v>34</v>
      </c>
      <c r="I1131" s="1">
        <f>SUMIFS($S$2:$S$10,$R$2:$R$10,F1131)</f>
        <v>15</v>
      </c>
      <c r="J1131" s="1">
        <f>SUM(G1131:I1131)</f>
        <v>83</v>
      </c>
      <c r="K1131" s="1">
        <f>SUMIFS($U$2:$U$10,$R$2:$R$10,E1131)</f>
        <v>0.15</v>
      </c>
      <c r="L1131" s="1">
        <f>SUMIFS($V$2:$V$10,$R$2:$R$10,F1131)</f>
        <v>0.06</v>
      </c>
      <c r="M1131" s="1">
        <f>SUMIFS($T$2:$T$10,$R$2:$R$10,D1131)</f>
        <v>0.49</v>
      </c>
    </row>
    <row r="1132" spans="1:13" x14ac:dyDescent="0.25">
      <c r="A1132" s="3">
        <f>(A$2+A$2*M1132+A$2*L1132)*(1+K1132)</f>
        <v>772.56960000000004</v>
      </c>
      <c r="B1132" s="3">
        <f>(B$2+B$2*M1132+B$2*L1132)*(1+K1132)</f>
        <v>898.60320000000002</v>
      </c>
      <c r="C1132" s="3">
        <f>(C$2+C$2*M1132+C$2*L1132)*(1+K1132)</f>
        <v>944.43359999999996</v>
      </c>
      <c r="D1132" s="3">
        <v>9</v>
      </c>
      <c r="E1132" s="3">
        <v>6</v>
      </c>
      <c r="F1132" s="3">
        <v>9</v>
      </c>
      <c r="G1132" s="3">
        <f>SUMIFS($S$2:$S$10,$R$2:$R$10,D1132)</f>
        <v>34</v>
      </c>
      <c r="H1132" s="3">
        <f>SUMIFS($S$2:$S$10,$R$2:$R$10,E1132)</f>
        <v>15</v>
      </c>
      <c r="I1132" s="3">
        <f>SUMIFS($S$2:$S$10,$R$2:$R$10,F1132)</f>
        <v>34</v>
      </c>
      <c r="J1132" s="3">
        <f>SUM(G1132:I1132)</f>
        <v>83</v>
      </c>
      <c r="K1132" s="3">
        <f>SUMIFS($T$2:$T$10,$R$2:$R$10,E1132)</f>
        <v>0.32</v>
      </c>
      <c r="L1132" s="3">
        <f>SUMIFS($V$2:$V$10,$R$2:$R$10,F1132)</f>
        <v>0.09</v>
      </c>
      <c r="M1132" s="3">
        <f>SUMIFS($U$2:$U$10,$R$2:$R$10,D1132)</f>
        <v>0.15</v>
      </c>
    </row>
    <row r="1133" spans="1:13" x14ac:dyDescent="0.25">
      <c r="A1133" s="3">
        <f>(A$2+A$2*M1133+A$2*L1133)*(1+K1133)</f>
        <v>850.96879999999999</v>
      </c>
      <c r="B1133" s="3">
        <f>(B$2+B$2*M1133+B$2*L1133)*(1+K1133)</f>
        <v>989.79209999999989</v>
      </c>
      <c r="C1133" s="3">
        <f>(C$2+C$2*M1133+C$2*L1133)*(1+K1133)</f>
        <v>1040.2732999999998</v>
      </c>
      <c r="D1133" s="3">
        <v>9</v>
      </c>
      <c r="E1133" s="3">
        <v>9</v>
      </c>
      <c r="F1133" s="3">
        <v>6</v>
      </c>
      <c r="G1133" s="3">
        <f>SUMIFS($S$2:$S$10,$R$2:$R$10,D1133)</f>
        <v>34</v>
      </c>
      <c r="H1133" s="3">
        <f>SUMIFS($S$2:$S$10,$R$2:$R$10,E1133)</f>
        <v>34</v>
      </c>
      <c r="I1133" s="3">
        <f>SUMIFS($S$2:$S$10,$R$2:$R$10,F1133)</f>
        <v>15</v>
      </c>
      <c r="J1133" s="3">
        <f>SUM(G1133:I1133)</f>
        <v>83</v>
      </c>
      <c r="K1133" s="3">
        <f>SUMIFS($T$2:$T$10,$R$2:$R$10,E1133)</f>
        <v>0.49</v>
      </c>
      <c r="L1133" s="3">
        <f>SUMIFS($V$2:$V$10,$R$2:$R$10,F1133)</f>
        <v>0.06</v>
      </c>
      <c r="M1133" s="3">
        <f>SUMIFS($U$2:$U$10,$R$2:$R$10,D1133)</f>
        <v>0.15</v>
      </c>
    </row>
    <row r="1134" spans="1:13" x14ac:dyDescent="0.25">
      <c r="A1134" s="2">
        <f>(A$2+A$2*K1134+A$2*M1134)*(1+L1134)</f>
        <v>829.87040000000002</v>
      </c>
      <c r="B1134" s="2">
        <f>(B$2+B$2*K1134+B$2*M1134)*(1+L1134)</f>
        <v>965.25179999999989</v>
      </c>
      <c r="C1134" s="2">
        <f>(C$2+C$2*K1134+C$2*M1134)*(1+L1134)</f>
        <v>1014.4813999999999</v>
      </c>
      <c r="D1134" s="2">
        <v>9</v>
      </c>
      <c r="E1134" s="2">
        <v>6</v>
      </c>
      <c r="F1134" s="2">
        <v>9</v>
      </c>
      <c r="G1134" s="2">
        <f>SUMIFS($S$2:$S$10,$R$2:$R$10,D1134)</f>
        <v>34</v>
      </c>
      <c r="H1134" s="2">
        <f>SUMIFS($S$2:$S$10,$R$2:$R$10,E1134)</f>
        <v>15</v>
      </c>
      <c r="I1134" s="2">
        <f>SUMIFS($S$2:$S$10,$R$2:$R$10,F1134)</f>
        <v>34</v>
      </c>
      <c r="J1134" s="2">
        <f>SUM(G1134:I1134)</f>
        <v>83</v>
      </c>
      <c r="K1134" s="2">
        <f>SUMIFS($U$2:$U$10,$R$2:$R$10,E1134)</f>
        <v>0.09</v>
      </c>
      <c r="L1134" s="2">
        <f>SUMIFS($T$2:$T$10,$R$2:$R$10,F1134)</f>
        <v>0.49</v>
      </c>
      <c r="M1134" s="2">
        <f>SUMIFS($V$2:$V$10,$R$2:$R$10,D1134)</f>
        <v>0.09</v>
      </c>
    </row>
    <row r="1135" spans="1:13" x14ac:dyDescent="0.25">
      <c r="A1135" s="2">
        <f>(A$2+A$2*K1135+A$2*M1135)*(1+L1135)</f>
        <v>772.56960000000004</v>
      </c>
      <c r="B1135" s="2">
        <f>(B$2+B$2*K1135+B$2*M1135)*(1+L1135)</f>
        <v>898.60320000000002</v>
      </c>
      <c r="C1135" s="2">
        <f>(C$2+C$2*K1135+C$2*M1135)*(1+L1135)</f>
        <v>944.43359999999996</v>
      </c>
      <c r="D1135" s="2">
        <v>9</v>
      </c>
      <c r="E1135" s="2">
        <v>9</v>
      </c>
      <c r="F1135" s="2">
        <v>6</v>
      </c>
      <c r="G1135" s="2">
        <f>SUMIFS($S$2:$S$10,$R$2:$R$10,D1135)</f>
        <v>34</v>
      </c>
      <c r="H1135" s="2">
        <f>SUMIFS($S$2:$S$10,$R$2:$R$10,E1135)</f>
        <v>34</v>
      </c>
      <c r="I1135" s="2">
        <f>SUMIFS($S$2:$S$10,$R$2:$R$10,F1135)</f>
        <v>15</v>
      </c>
      <c r="J1135" s="2">
        <f>SUM(G1135:I1135)</f>
        <v>83</v>
      </c>
      <c r="K1135" s="2">
        <f>SUMIFS($U$2:$U$10,$R$2:$R$10,E1135)</f>
        <v>0.15</v>
      </c>
      <c r="L1135" s="2">
        <f>SUMIFS($T$2:$T$10,$R$2:$R$10,F1135)</f>
        <v>0.32</v>
      </c>
      <c r="M1135" s="2">
        <f>SUMIFS($V$2:$V$10,$R$2:$R$10,D1135)</f>
        <v>0.09</v>
      </c>
    </row>
    <row r="1136" spans="1:13" x14ac:dyDescent="0.25">
      <c r="A1136" s="1">
        <f>(A$2+A$2*K1136+A$2*L1136)*(1+M1136)</f>
        <v>843.93599999999992</v>
      </c>
      <c r="B1136" s="1">
        <f>(B$2+B$2*K1136+B$2*L1136)*(1+M1136)</f>
        <v>981.61199999999997</v>
      </c>
      <c r="C1136" s="1">
        <f>(C$2+C$2*K1136+C$2*L1136)*(1+M1136)</f>
        <v>1031.6759999999999</v>
      </c>
      <c r="D1136" s="1">
        <v>9</v>
      </c>
      <c r="E1136" s="1">
        <v>7</v>
      </c>
      <c r="F1136" s="1">
        <v>9</v>
      </c>
      <c r="G1136" s="1">
        <f>SUMIFS($S$2:$S$10,$R$2:$R$10,D1136)</f>
        <v>34</v>
      </c>
      <c r="H1136" s="1">
        <f>SUMIFS($S$2:$S$10,$R$2:$R$10,E1136)</f>
        <v>20</v>
      </c>
      <c r="I1136" s="1">
        <f>SUMIFS($S$2:$S$10,$R$2:$R$10,F1136)</f>
        <v>34</v>
      </c>
      <c r="J1136" s="1">
        <f>SUM(G1136:I1136)</f>
        <v>88</v>
      </c>
      <c r="K1136" s="1">
        <f>SUMIFS($U$2:$U$10,$R$2:$R$10,E1136)</f>
        <v>0.11</v>
      </c>
      <c r="L1136" s="1">
        <f>SUMIFS($V$2:$V$10,$R$2:$R$10,F1136)</f>
        <v>0.09</v>
      </c>
      <c r="M1136" s="1">
        <f>SUMIFS($T$2:$T$10,$R$2:$R$10,D1136)</f>
        <v>0.49</v>
      </c>
    </row>
    <row r="1137" spans="1:13" x14ac:dyDescent="0.25">
      <c r="A1137" s="1">
        <f>(A$2+A$2*K1137+A$2*L1137)*(1+M1137)</f>
        <v>850.96879999999999</v>
      </c>
      <c r="B1137" s="1">
        <f>(B$2+B$2*K1137+B$2*L1137)*(1+M1137)</f>
        <v>989.79209999999989</v>
      </c>
      <c r="C1137" s="1">
        <f>(C$2+C$2*K1137+C$2*L1137)*(1+M1137)</f>
        <v>1040.2732999999998</v>
      </c>
      <c r="D1137" s="1">
        <v>9</v>
      </c>
      <c r="E1137" s="1">
        <v>8</v>
      </c>
      <c r="F1137" s="1">
        <v>8</v>
      </c>
      <c r="G1137" s="1">
        <f>SUMIFS($S$2:$S$10,$R$2:$R$10,D1137)</f>
        <v>34</v>
      </c>
      <c r="H1137" s="1">
        <f>SUMIFS($S$2:$S$10,$R$2:$R$10,E1137)</f>
        <v>27</v>
      </c>
      <c r="I1137" s="1">
        <f>SUMIFS($S$2:$S$10,$R$2:$R$10,F1137)</f>
        <v>27</v>
      </c>
      <c r="J1137" s="1">
        <f>SUM(G1137:I1137)</f>
        <v>88</v>
      </c>
      <c r="K1137" s="1">
        <f>SUMIFS($U$2:$U$10,$R$2:$R$10,E1137)</f>
        <v>0.13</v>
      </c>
      <c r="L1137" s="1">
        <f>SUMIFS($V$2:$V$10,$R$2:$R$10,F1137)</f>
        <v>0.08</v>
      </c>
      <c r="M1137" s="1">
        <f>SUMIFS($T$2:$T$10,$R$2:$R$10,D1137)</f>
        <v>0.49</v>
      </c>
    </row>
    <row r="1138" spans="1:13" x14ac:dyDescent="0.25">
      <c r="A1138" s="1">
        <f>(A$2+A$2*K1138+A$2*L1138)*(1+M1138)</f>
        <v>858.00159999999983</v>
      </c>
      <c r="B1138" s="1">
        <f>(B$2+B$2*K1138+B$2*L1138)*(1+M1138)</f>
        <v>997.97219999999993</v>
      </c>
      <c r="C1138" s="1">
        <f>(C$2+C$2*K1138+C$2*L1138)*(1+M1138)</f>
        <v>1048.8706</v>
      </c>
      <c r="D1138" s="1">
        <v>9</v>
      </c>
      <c r="E1138" s="1">
        <v>9</v>
      </c>
      <c r="F1138" s="1">
        <v>7</v>
      </c>
      <c r="G1138" s="1">
        <f>SUMIFS($S$2:$S$10,$R$2:$R$10,D1138)</f>
        <v>34</v>
      </c>
      <c r="H1138" s="1">
        <f>SUMIFS($S$2:$S$10,$R$2:$R$10,E1138)</f>
        <v>34</v>
      </c>
      <c r="I1138" s="1">
        <f>SUMIFS($S$2:$S$10,$R$2:$R$10,F1138)</f>
        <v>20</v>
      </c>
      <c r="J1138" s="1">
        <f>SUM(G1138:I1138)</f>
        <v>88</v>
      </c>
      <c r="K1138" s="1">
        <f>SUMIFS($U$2:$U$10,$R$2:$R$10,E1138)</f>
        <v>0.15</v>
      </c>
      <c r="L1138" s="1">
        <f>SUMIFS($V$2:$V$10,$R$2:$R$10,F1138)</f>
        <v>7.0000000000000007E-2</v>
      </c>
      <c r="M1138" s="1">
        <f>SUMIFS($T$2:$T$10,$R$2:$R$10,D1138)</f>
        <v>0.49</v>
      </c>
    </row>
    <row r="1139" spans="1:13" x14ac:dyDescent="0.25">
      <c r="A1139" s="3">
        <f>(A$2+A$2*M1139+A$2*L1139)*(1+K1139)</f>
        <v>801.83360000000005</v>
      </c>
      <c r="B1139" s="3">
        <f>(B$2+B$2*M1139+B$2*L1139)*(1+K1139)</f>
        <v>932.64120000000003</v>
      </c>
      <c r="C1139" s="3">
        <f>(C$2+C$2*M1139+C$2*L1139)*(1+K1139)</f>
        <v>980.20759999999996</v>
      </c>
      <c r="D1139" s="3">
        <v>9</v>
      </c>
      <c r="E1139" s="3">
        <v>7</v>
      </c>
      <c r="F1139" s="3">
        <v>9</v>
      </c>
      <c r="G1139" s="3">
        <f>SUMIFS($S$2:$S$10,$R$2:$R$10,D1139)</f>
        <v>34</v>
      </c>
      <c r="H1139" s="3">
        <f>SUMIFS($S$2:$S$10,$R$2:$R$10,E1139)</f>
        <v>20</v>
      </c>
      <c r="I1139" s="3">
        <f>SUMIFS($S$2:$S$10,$R$2:$R$10,F1139)</f>
        <v>34</v>
      </c>
      <c r="J1139" s="3">
        <f>SUM(G1139:I1139)</f>
        <v>88</v>
      </c>
      <c r="K1139" s="3">
        <f>SUMIFS($T$2:$T$10,$R$2:$R$10,E1139)</f>
        <v>0.37</v>
      </c>
      <c r="L1139" s="3">
        <f>SUMIFS($V$2:$V$10,$R$2:$R$10,F1139)</f>
        <v>0.09</v>
      </c>
      <c r="M1139" s="3">
        <f>SUMIFS($U$2:$U$10,$R$2:$R$10,D1139)</f>
        <v>0.15</v>
      </c>
    </row>
    <row r="1140" spans="1:13" x14ac:dyDescent="0.25">
      <c r="A1140" s="3">
        <f>(A$2+A$2*M1140+A$2*L1140)*(1+K1140)</f>
        <v>830.20079999999984</v>
      </c>
      <c r="B1140" s="3">
        <f>(B$2+B$2*M1140+B$2*L1140)*(1+K1140)</f>
        <v>965.63609999999994</v>
      </c>
      <c r="C1140" s="3">
        <f>(C$2+C$2*M1140+C$2*L1140)*(1+K1140)</f>
        <v>1014.8852999999998</v>
      </c>
      <c r="D1140" s="3">
        <v>9</v>
      </c>
      <c r="E1140" s="3">
        <v>8</v>
      </c>
      <c r="F1140" s="3">
        <v>8</v>
      </c>
      <c r="G1140" s="3">
        <f>SUMIFS($S$2:$S$10,$R$2:$R$10,D1140)</f>
        <v>34</v>
      </c>
      <c r="H1140" s="3">
        <f>SUMIFS($S$2:$S$10,$R$2:$R$10,E1140)</f>
        <v>27</v>
      </c>
      <c r="I1140" s="3">
        <f>SUMIFS($S$2:$S$10,$R$2:$R$10,F1140)</f>
        <v>27</v>
      </c>
      <c r="J1140" s="3">
        <f>SUM(G1140:I1140)</f>
        <v>88</v>
      </c>
      <c r="K1140" s="3">
        <f>SUMIFS($T$2:$T$10,$R$2:$R$10,E1140)</f>
        <v>0.43</v>
      </c>
      <c r="L1140" s="3">
        <f>SUMIFS($V$2:$V$10,$R$2:$R$10,F1140)</f>
        <v>0.08</v>
      </c>
      <c r="M1140" s="3">
        <f>SUMIFS($U$2:$U$10,$R$2:$R$10,D1140)</f>
        <v>0.15</v>
      </c>
    </row>
    <row r="1141" spans="1:13" x14ac:dyDescent="0.25">
      <c r="A1141" s="3">
        <f>(A$2+A$2*M1141+A$2*L1141)*(1+K1141)</f>
        <v>858.00159999999983</v>
      </c>
      <c r="B1141" s="3">
        <f>(B$2+B$2*M1141+B$2*L1141)*(1+K1141)</f>
        <v>997.97219999999993</v>
      </c>
      <c r="C1141" s="3">
        <f>(C$2+C$2*M1141+C$2*L1141)*(1+K1141)</f>
        <v>1048.8706</v>
      </c>
      <c r="D1141" s="3">
        <v>9</v>
      </c>
      <c r="E1141" s="3">
        <v>9</v>
      </c>
      <c r="F1141" s="3">
        <v>7</v>
      </c>
      <c r="G1141" s="3">
        <f>SUMIFS($S$2:$S$10,$R$2:$R$10,D1141)</f>
        <v>34</v>
      </c>
      <c r="H1141" s="3">
        <f>SUMIFS($S$2:$S$10,$R$2:$R$10,E1141)</f>
        <v>34</v>
      </c>
      <c r="I1141" s="3">
        <f>SUMIFS($S$2:$S$10,$R$2:$R$10,F1141)</f>
        <v>20</v>
      </c>
      <c r="J1141" s="3">
        <f>SUM(G1141:I1141)</f>
        <v>88</v>
      </c>
      <c r="K1141" s="3">
        <f>SUMIFS($T$2:$T$10,$R$2:$R$10,E1141)</f>
        <v>0.49</v>
      </c>
      <c r="L1141" s="3">
        <f>SUMIFS($V$2:$V$10,$R$2:$R$10,F1141)</f>
        <v>7.0000000000000007E-2</v>
      </c>
      <c r="M1141" s="3">
        <f>SUMIFS($U$2:$U$10,$R$2:$R$10,D1141)</f>
        <v>0.15</v>
      </c>
    </row>
    <row r="1142" spans="1:13" x14ac:dyDescent="0.25">
      <c r="A1142" s="2">
        <f>(A$2+A$2*K1142+A$2*M1142)*(1+L1142)</f>
        <v>843.93599999999992</v>
      </c>
      <c r="B1142" s="2">
        <f>(B$2+B$2*K1142+B$2*M1142)*(1+L1142)</f>
        <v>981.61199999999997</v>
      </c>
      <c r="C1142" s="2">
        <f>(C$2+C$2*K1142+C$2*M1142)*(1+L1142)</f>
        <v>1031.6759999999999</v>
      </c>
      <c r="D1142" s="2">
        <v>9</v>
      </c>
      <c r="E1142" s="2">
        <v>7</v>
      </c>
      <c r="F1142" s="2">
        <v>9</v>
      </c>
      <c r="G1142" s="2">
        <f>SUMIFS($S$2:$S$10,$R$2:$R$10,D1142)</f>
        <v>34</v>
      </c>
      <c r="H1142" s="2">
        <f>SUMIFS($S$2:$S$10,$R$2:$R$10,E1142)</f>
        <v>20</v>
      </c>
      <c r="I1142" s="2">
        <f>SUMIFS($S$2:$S$10,$R$2:$R$10,F1142)</f>
        <v>34</v>
      </c>
      <c r="J1142" s="2">
        <f>SUM(G1142:I1142)</f>
        <v>88</v>
      </c>
      <c r="K1142" s="2">
        <f>SUMIFS($U$2:$U$10,$R$2:$R$10,E1142)</f>
        <v>0.11</v>
      </c>
      <c r="L1142" s="2">
        <f>SUMIFS($T$2:$T$10,$R$2:$R$10,F1142)</f>
        <v>0.49</v>
      </c>
      <c r="M1142" s="2">
        <f>SUMIFS($V$2:$V$10,$R$2:$R$10,D1142)</f>
        <v>0.09</v>
      </c>
    </row>
    <row r="1143" spans="1:13" x14ac:dyDescent="0.25">
      <c r="A1143" s="2">
        <f>(A$2+A$2*K1143+A$2*M1143)*(1+L1143)</f>
        <v>823.45119999999997</v>
      </c>
      <c r="B1143" s="2">
        <f>(B$2+B$2*K1143+B$2*M1143)*(1+L1143)</f>
        <v>957.78539999999987</v>
      </c>
      <c r="C1143" s="2">
        <f>(C$2+C$2*K1143+C$2*M1143)*(1+L1143)</f>
        <v>1006.6341999999999</v>
      </c>
      <c r="D1143" s="2">
        <v>9</v>
      </c>
      <c r="E1143" s="2">
        <v>8</v>
      </c>
      <c r="F1143" s="2">
        <v>8</v>
      </c>
      <c r="G1143" s="2">
        <f>SUMIFS($S$2:$S$10,$R$2:$R$10,D1143)</f>
        <v>34</v>
      </c>
      <c r="H1143" s="2">
        <f>SUMIFS($S$2:$S$10,$R$2:$R$10,E1143)</f>
        <v>27</v>
      </c>
      <c r="I1143" s="2">
        <f>SUMIFS($S$2:$S$10,$R$2:$R$10,F1143)</f>
        <v>27</v>
      </c>
      <c r="J1143" s="2">
        <f>SUM(G1143:I1143)</f>
        <v>88</v>
      </c>
      <c r="K1143" s="2">
        <f>SUMIFS($U$2:$U$10,$R$2:$R$10,E1143)</f>
        <v>0.13</v>
      </c>
      <c r="L1143" s="2">
        <f>SUMIFS($T$2:$T$10,$R$2:$R$10,F1143)</f>
        <v>0.43</v>
      </c>
      <c r="M1143" s="2">
        <f>SUMIFS($V$2:$V$10,$R$2:$R$10,D1143)</f>
        <v>0.09</v>
      </c>
    </row>
    <row r="1144" spans="1:13" x14ac:dyDescent="0.25">
      <c r="A1144" s="2">
        <f>(A$2+A$2*K1144+A$2*M1144)*(1+L1144)</f>
        <v>801.83360000000005</v>
      </c>
      <c r="B1144" s="2">
        <f>(B$2+B$2*K1144+B$2*M1144)*(1+L1144)</f>
        <v>932.64120000000003</v>
      </c>
      <c r="C1144" s="2">
        <f>(C$2+C$2*K1144+C$2*M1144)*(1+L1144)</f>
        <v>980.20759999999996</v>
      </c>
      <c r="D1144" s="2">
        <v>9</v>
      </c>
      <c r="E1144" s="2">
        <v>9</v>
      </c>
      <c r="F1144" s="2">
        <v>7</v>
      </c>
      <c r="G1144" s="2">
        <f>SUMIFS($S$2:$S$10,$R$2:$R$10,D1144)</f>
        <v>34</v>
      </c>
      <c r="H1144" s="2">
        <f>SUMIFS($S$2:$S$10,$R$2:$R$10,E1144)</f>
        <v>34</v>
      </c>
      <c r="I1144" s="2">
        <f>SUMIFS($S$2:$S$10,$R$2:$R$10,F1144)</f>
        <v>20</v>
      </c>
      <c r="J1144" s="2">
        <f>SUM(G1144:I1144)</f>
        <v>88</v>
      </c>
      <c r="K1144" s="2">
        <f>SUMIFS($U$2:$U$10,$R$2:$R$10,E1144)</f>
        <v>0.15</v>
      </c>
      <c r="L1144" s="2">
        <f>SUMIFS($T$2:$T$10,$R$2:$R$10,F1144)</f>
        <v>0.37</v>
      </c>
      <c r="M1144" s="2">
        <f>SUMIFS($V$2:$V$10,$R$2:$R$10,D1144)</f>
        <v>0.09</v>
      </c>
    </row>
    <row r="1145" spans="1:13" x14ac:dyDescent="0.25">
      <c r="A1145" s="1">
        <f>(A$2+A$2*K1145+A$2*L1145)*(1+M1145)</f>
        <v>858.00160000000005</v>
      </c>
      <c r="B1145" s="1">
        <f>(B$2+B$2*K1145+B$2*L1145)*(1+M1145)</f>
        <v>997.97219999999993</v>
      </c>
      <c r="C1145" s="1">
        <f>(C$2+C$2*K1145+C$2*L1145)*(1+M1145)</f>
        <v>1048.8706</v>
      </c>
      <c r="D1145" s="1">
        <v>9</v>
      </c>
      <c r="E1145" s="1">
        <v>8</v>
      </c>
      <c r="F1145" s="1">
        <v>9</v>
      </c>
      <c r="G1145" s="1">
        <f>SUMIFS($S$2:$S$10,$R$2:$R$10,D1145)</f>
        <v>34</v>
      </c>
      <c r="H1145" s="1">
        <f>SUMIFS($S$2:$S$10,$R$2:$R$10,E1145)</f>
        <v>27</v>
      </c>
      <c r="I1145" s="1">
        <f>SUMIFS($S$2:$S$10,$R$2:$R$10,F1145)</f>
        <v>34</v>
      </c>
      <c r="J1145" s="1">
        <f>SUM(G1145:I1145)</f>
        <v>95</v>
      </c>
      <c r="K1145" s="1">
        <f>SUMIFS($U$2:$U$10,$R$2:$R$10,E1145)</f>
        <v>0.13</v>
      </c>
      <c r="L1145" s="1">
        <f>SUMIFS($V$2:$V$10,$R$2:$R$10,F1145)</f>
        <v>0.09</v>
      </c>
      <c r="M1145" s="1">
        <f>SUMIFS($T$2:$T$10,$R$2:$R$10,D1145)</f>
        <v>0.49</v>
      </c>
    </row>
    <row r="1146" spans="1:13" x14ac:dyDescent="0.25">
      <c r="A1146" s="1">
        <f>(A$2+A$2*K1146+A$2*L1146)*(1+M1146)</f>
        <v>865.03439999999989</v>
      </c>
      <c r="B1146" s="1">
        <f>(B$2+B$2*K1146+B$2*L1146)*(1+M1146)</f>
        <v>1006.1523</v>
      </c>
      <c r="C1146" s="1">
        <f>(C$2+C$2*K1146+C$2*L1146)*(1+M1146)</f>
        <v>1057.4678999999999</v>
      </c>
      <c r="D1146" s="1">
        <v>9</v>
      </c>
      <c r="E1146" s="1">
        <v>9</v>
      </c>
      <c r="F1146" s="1">
        <v>8</v>
      </c>
      <c r="G1146" s="1">
        <f>SUMIFS($S$2:$S$10,$R$2:$R$10,D1146)</f>
        <v>34</v>
      </c>
      <c r="H1146" s="1">
        <f>SUMIFS($S$2:$S$10,$R$2:$R$10,E1146)</f>
        <v>34</v>
      </c>
      <c r="I1146" s="1">
        <f>SUMIFS($S$2:$S$10,$R$2:$R$10,F1146)</f>
        <v>27</v>
      </c>
      <c r="J1146" s="1">
        <f>SUM(G1146:I1146)</f>
        <v>95</v>
      </c>
      <c r="K1146" s="1">
        <f>SUMIFS($U$2:$U$10,$R$2:$R$10,E1146)</f>
        <v>0.15</v>
      </c>
      <c r="L1146" s="1">
        <f>SUMIFS($V$2:$V$10,$R$2:$R$10,F1146)</f>
        <v>0.08</v>
      </c>
      <c r="M1146" s="1">
        <f>SUMIFS($T$2:$T$10,$R$2:$R$10,D1146)</f>
        <v>0.49</v>
      </c>
    </row>
    <row r="1147" spans="1:13" x14ac:dyDescent="0.25">
      <c r="A1147" s="3">
        <f>(A$2+A$2*M1147+A$2*L1147)*(1+K1147)</f>
        <v>836.95039999999995</v>
      </c>
      <c r="B1147" s="3">
        <f>(B$2+B$2*M1147+B$2*L1147)*(1+K1147)</f>
        <v>973.4867999999999</v>
      </c>
      <c r="C1147" s="3">
        <f>(C$2+C$2*M1147+C$2*L1147)*(1+K1147)</f>
        <v>1023.1363999999999</v>
      </c>
      <c r="D1147" s="3">
        <v>9</v>
      </c>
      <c r="E1147" s="3">
        <v>8</v>
      </c>
      <c r="F1147" s="3">
        <v>9</v>
      </c>
      <c r="G1147" s="3">
        <f>SUMIFS($S$2:$S$10,$R$2:$R$10,D1147)</f>
        <v>34</v>
      </c>
      <c r="H1147" s="3">
        <f>SUMIFS($S$2:$S$10,$R$2:$R$10,E1147)</f>
        <v>27</v>
      </c>
      <c r="I1147" s="3">
        <f>SUMIFS($S$2:$S$10,$R$2:$R$10,F1147)</f>
        <v>34</v>
      </c>
      <c r="J1147" s="3">
        <f>SUM(G1147:I1147)</f>
        <v>95</v>
      </c>
      <c r="K1147" s="3">
        <f>SUMIFS($T$2:$T$10,$R$2:$R$10,E1147)</f>
        <v>0.43</v>
      </c>
      <c r="L1147" s="3">
        <f>SUMIFS($V$2:$V$10,$R$2:$R$10,F1147)</f>
        <v>0.09</v>
      </c>
      <c r="M1147" s="3">
        <f>SUMIFS($U$2:$U$10,$R$2:$R$10,D1147)</f>
        <v>0.15</v>
      </c>
    </row>
    <row r="1148" spans="1:13" x14ac:dyDescent="0.25">
      <c r="A1148" s="3">
        <f>(A$2+A$2*M1148+A$2*L1148)*(1+K1148)</f>
        <v>865.03439999999989</v>
      </c>
      <c r="B1148" s="3">
        <f>(B$2+B$2*M1148+B$2*L1148)*(1+K1148)</f>
        <v>1006.1523</v>
      </c>
      <c r="C1148" s="3">
        <f>(C$2+C$2*M1148+C$2*L1148)*(1+K1148)</f>
        <v>1057.4678999999999</v>
      </c>
      <c r="D1148" s="3">
        <v>9</v>
      </c>
      <c r="E1148" s="3">
        <v>9</v>
      </c>
      <c r="F1148" s="3">
        <v>8</v>
      </c>
      <c r="G1148" s="3">
        <f>SUMIFS($S$2:$S$10,$R$2:$R$10,D1148)</f>
        <v>34</v>
      </c>
      <c r="H1148" s="3">
        <f>SUMIFS($S$2:$S$10,$R$2:$R$10,E1148)</f>
        <v>34</v>
      </c>
      <c r="I1148" s="3">
        <f>SUMIFS($S$2:$S$10,$R$2:$R$10,F1148)</f>
        <v>27</v>
      </c>
      <c r="J1148" s="3">
        <f>SUM(G1148:I1148)</f>
        <v>95</v>
      </c>
      <c r="K1148" s="3">
        <f>SUMIFS($T$2:$T$10,$R$2:$R$10,E1148)</f>
        <v>0.49</v>
      </c>
      <c r="L1148" s="3">
        <f>SUMIFS($V$2:$V$10,$R$2:$R$10,F1148)</f>
        <v>0.08</v>
      </c>
      <c r="M1148" s="3">
        <f>SUMIFS($U$2:$U$10,$R$2:$R$10,D1148)</f>
        <v>0.15</v>
      </c>
    </row>
    <row r="1149" spans="1:13" x14ac:dyDescent="0.25">
      <c r="A1149" s="2">
        <f>(A$2+A$2*K1149+A$2*M1149)*(1+L1149)</f>
        <v>858.00160000000005</v>
      </c>
      <c r="B1149" s="2">
        <f>(B$2+B$2*K1149+B$2*M1149)*(1+L1149)</f>
        <v>997.97219999999993</v>
      </c>
      <c r="C1149" s="2">
        <f>(C$2+C$2*K1149+C$2*M1149)*(1+L1149)</f>
        <v>1048.8706</v>
      </c>
      <c r="D1149" s="2">
        <v>9</v>
      </c>
      <c r="E1149" s="2">
        <v>8</v>
      </c>
      <c r="F1149" s="2">
        <v>9</v>
      </c>
      <c r="G1149" s="2">
        <f>SUMIFS($S$2:$S$10,$R$2:$R$10,D1149)</f>
        <v>34</v>
      </c>
      <c r="H1149" s="2">
        <f>SUMIFS($S$2:$S$10,$R$2:$R$10,E1149)</f>
        <v>27</v>
      </c>
      <c r="I1149" s="2">
        <f>SUMIFS($S$2:$S$10,$R$2:$R$10,F1149)</f>
        <v>34</v>
      </c>
      <c r="J1149" s="2">
        <f>SUM(G1149:I1149)</f>
        <v>95</v>
      </c>
      <c r="K1149" s="2">
        <f>SUMIFS($U$2:$U$10,$R$2:$R$10,E1149)</f>
        <v>0.13</v>
      </c>
      <c r="L1149" s="2">
        <f>SUMIFS($T$2:$T$10,$R$2:$R$10,F1149)</f>
        <v>0.49</v>
      </c>
      <c r="M1149" s="2">
        <f>SUMIFS($V$2:$V$10,$R$2:$R$10,D1149)</f>
        <v>0.09</v>
      </c>
    </row>
    <row r="1150" spans="1:13" x14ac:dyDescent="0.25">
      <c r="A1150" s="2">
        <f>(A$2+A$2*K1150+A$2*M1150)*(1+L1150)</f>
        <v>836.95039999999995</v>
      </c>
      <c r="B1150" s="2">
        <f>(B$2+B$2*K1150+B$2*M1150)*(1+L1150)</f>
        <v>973.4867999999999</v>
      </c>
      <c r="C1150" s="2">
        <f>(C$2+C$2*K1150+C$2*M1150)*(1+L1150)</f>
        <v>1023.1363999999999</v>
      </c>
      <c r="D1150" s="2">
        <v>9</v>
      </c>
      <c r="E1150" s="2">
        <v>9</v>
      </c>
      <c r="F1150" s="2">
        <v>8</v>
      </c>
      <c r="G1150" s="2">
        <f>SUMIFS($S$2:$S$10,$R$2:$R$10,D1150)</f>
        <v>34</v>
      </c>
      <c r="H1150" s="2">
        <f>SUMIFS($S$2:$S$10,$R$2:$R$10,E1150)</f>
        <v>34</v>
      </c>
      <c r="I1150" s="2">
        <f>SUMIFS($S$2:$S$10,$R$2:$R$10,F1150)</f>
        <v>27</v>
      </c>
      <c r="J1150" s="2">
        <f>SUM(G1150:I1150)</f>
        <v>95</v>
      </c>
      <c r="K1150" s="2">
        <f>SUMIFS($U$2:$U$10,$R$2:$R$10,E1150)</f>
        <v>0.15</v>
      </c>
      <c r="L1150" s="2">
        <f>SUMIFS($T$2:$T$10,$R$2:$R$10,F1150)</f>
        <v>0.43</v>
      </c>
      <c r="M1150" s="2">
        <f>SUMIFS($V$2:$V$10,$R$2:$R$10,D1150)</f>
        <v>0.09</v>
      </c>
    </row>
    <row r="1151" spans="1:13" x14ac:dyDescent="0.25">
      <c r="A1151" s="1">
        <f>(A$2+A$2*K1151+A$2*L1151)*(1+M1151)</f>
        <v>872.06719999999996</v>
      </c>
      <c r="B1151" s="1">
        <f>(B$2+B$2*K1151+B$2*L1151)*(1+M1151)</f>
        <v>1014.3324</v>
      </c>
      <c r="C1151" s="1">
        <f>(C$2+C$2*K1151+C$2*L1151)*(1+M1151)</f>
        <v>1066.0651999999998</v>
      </c>
      <c r="D1151" s="1">
        <v>9</v>
      </c>
      <c r="E1151" s="1">
        <v>9</v>
      </c>
      <c r="F1151" s="1">
        <v>9</v>
      </c>
      <c r="G1151" s="1">
        <f>SUMIFS($S$2:$S$10,$R$2:$R$10,D1151)</f>
        <v>34</v>
      </c>
      <c r="H1151" s="1">
        <f>SUMIFS($S$2:$S$10,$R$2:$R$10,E1151)</f>
        <v>34</v>
      </c>
      <c r="I1151" s="1">
        <f>SUMIFS($S$2:$S$10,$R$2:$R$10,F1151)</f>
        <v>34</v>
      </c>
      <c r="J1151" s="1">
        <f>SUM(G1151:I1151)</f>
        <v>102</v>
      </c>
      <c r="K1151" s="1">
        <f>SUMIFS($U$2:$U$10,$R$2:$R$10,E1151)</f>
        <v>0.15</v>
      </c>
      <c r="L1151" s="1">
        <f>SUMIFS($V$2:$V$10,$R$2:$R$10,F1151)</f>
        <v>0.09</v>
      </c>
      <c r="M1151" s="1">
        <f>SUMIFS($T$2:$T$10,$R$2:$R$10,D1151)</f>
        <v>0.49</v>
      </c>
    </row>
    <row r="1152" spans="1:13" x14ac:dyDescent="0.25">
      <c r="A1152" s="3">
        <f>(A$2+A$2*M1152+A$2*L1152)*(1+K1152)</f>
        <v>872.06719999999996</v>
      </c>
      <c r="B1152" s="3">
        <f>(B$2+B$2*M1152+B$2*L1152)*(1+K1152)</f>
        <v>1014.3324</v>
      </c>
      <c r="C1152" s="3">
        <f>(C$2+C$2*M1152+C$2*L1152)*(1+K1152)</f>
        <v>1066.0651999999998</v>
      </c>
      <c r="D1152" s="3">
        <v>9</v>
      </c>
      <c r="E1152" s="3">
        <v>9</v>
      </c>
      <c r="F1152" s="3">
        <v>9</v>
      </c>
      <c r="G1152" s="3">
        <f>SUMIFS($S$2:$S$10,$R$2:$R$10,D1152)</f>
        <v>34</v>
      </c>
      <c r="H1152" s="3">
        <f>SUMIFS($S$2:$S$10,$R$2:$R$10,E1152)</f>
        <v>34</v>
      </c>
      <c r="I1152" s="3">
        <f>SUMIFS($S$2:$S$10,$R$2:$R$10,F1152)</f>
        <v>34</v>
      </c>
      <c r="J1152" s="3">
        <f>SUM(G1152:I1152)</f>
        <v>102</v>
      </c>
      <c r="K1152" s="3">
        <f>SUMIFS($T$2:$T$10,$R$2:$R$10,E1152)</f>
        <v>0.49</v>
      </c>
      <c r="L1152" s="3">
        <f>SUMIFS($V$2:$V$10,$R$2:$R$10,F1152)</f>
        <v>0.09</v>
      </c>
      <c r="M1152" s="3">
        <f>SUMIFS($U$2:$U$10,$R$2:$R$10,D1152)</f>
        <v>0.15</v>
      </c>
    </row>
    <row r="1153" spans="1:13" x14ac:dyDescent="0.25">
      <c r="A1153" s="2">
        <f>(A$2+A$2*K1153+A$2*M1153)*(1+L1153)</f>
        <v>872.06719999999996</v>
      </c>
      <c r="B1153" s="2">
        <f>(B$2+B$2*K1153+B$2*M1153)*(1+L1153)</f>
        <v>1014.3324</v>
      </c>
      <c r="C1153" s="2">
        <f>(C$2+C$2*K1153+C$2*M1153)*(1+L1153)</f>
        <v>1066.0651999999998</v>
      </c>
      <c r="D1153" s="2">
        <v>9</v>
      </c>
      <c r="E1153" s="2">
        <v>9</v>
      </c>
      <c r="F1153" s="2">
        <v>9</v>
      </c>
      <c r="G1153" s="2">
        <f>SUMIFS($S$2:$S$10,$R$2:$R$10,D1153)</f>
        <v>34</v>
      </c>
      <c r="H1153" s="2">
        <f>SUMIFS($S$2:$S$10,$R$2:$R$10,E1153)</f>
        <v>34</v>
      </c>
      <c r="I1153" s="2">
        <f>SUMIFS($S$2:$S$10,$R$2:$R$10,F1153)</f>
        <v>34</v>
      </c>
      <c r="J1153" s="2">
        <f>SUM(G1153:I1153)</f>
        <v>102</v>
      </c>
      <c r="K1153" s="2">
        <f>SUMIFS($U$2:$U$10,$R$2:$R$10,E1153)</f>
        <v>0.15</v>
      </c>
      <c r="L1153" s="2">
        <f>SUMIFS($T$2:$T$10,$R$2:$R$10,F1153)</f>
        <v>0.49</v>
      </c>
      <c r="M1153" s="2">
        <f>SUMIFS($V$2:$V$10,$R$2:$R$10,D1153)</f>
        <v>0.09</v>
      </c>
    </row>
    <row r="1156" spans="1:13" x14ac:dyDescent="0.25">
      <c r="A1156" s="1">
        <f t="shared" ref="A1156:B1156" si="0">MAX(A260:A274)</f>
        <v>647.96160000000009</v>
      </c>
      <c r="B1156" s="1">
        <f t="shared" si="0"/>
        <v>753.66720000000009</v>
      </c>
      <c r="C1156" s="1">
        <f>MAX(C260:C274)</f>
        <v>792.10559999999998</v>
      </c>
    </row>
  </sheetData>
  <autoFilter ref="J1:J1153"/>
  <sortState ref="A2:M1153">
    <sortCondition ref="J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Schabla</dc:creator>
  <cp:lastModifiedBy>Joshua Schabla</cp:lastModifiedBy>
  <dcterms:created xsi:type="dcterms:W3CDTF">2016-12-03T11:02:38Z</dcterms:created>
  <dcterms:modified xsi:type="dcterms:W3CDTF">2016-12-03T14:29:23Z</dcterms:modified>
</cp:coreProperties>
</file>